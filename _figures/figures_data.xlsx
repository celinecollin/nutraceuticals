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worksheets/sheet28.xml" ContentType="application/vnd.openxmlformats-officedocument.spreadsheetml.worksheet+xml"/>
  <Override PartName="/xl/drawings/drawing26.xml" ContentType="application/vnd.openxmlformats-officedocument.drawing+xml"/>
  <Override PartName="/xl/worksheets/sheet29.xml" ContentType="application/vnd.openxmlformats-officedocument.spreadsheetml.worksheet+xml"/>
  <Override PartName="/xl/drawings/drawing27.xml" ContentType="application/vnd.openxmlformats-officedocument.drawing+xml"/>
  <Override PartName="/xl/worksheets/sheet30.xml" ContentType="application/vnd.openxmlformats-officedocument.spreadsheetml.worksheet+xml"/>
  <Override PartName="/xl/drawings/drawing28.xml" ContentType="application/vnd.openxmlformats-officedocument.drawing+xml"/>
  <Override PartName="/xl/worksheets/sheet31.xml" ContentType="application/vnd.openxmlformats-officedocument.spreadsheetml.worksheet+xml"/>
  <Override PartName="/xl/drawings/drawing29.xml" ContentType="application/vnd.openxmlformats-officedocument.drawing+xml"/>
  <Override PartName="/xl/worksheets/sheet32.xml" ContentType="application/vnd.openxmlformats-officedocument.spreadsheetml.worksheet+xml"/>
  <Override PartName="/xl/drawings/drawing30.xml" ContentType="application/vnd.openxmlformats-officedocument.drawing+xml"/>
  <Override PartName="/xl/worksheets/sheet33.xml" ContentType="application/vnd.openxmlformats-officedocument.spreadsheetml.worksheet+xml"/>
  <Override PartName="/xl/drawings/drawing31.xml" ContentType="application/vnd.openxmlformats-officedocument.drawing+xml"/>
  <Override PartName="/xl/worksheets/sheet34.xml" ContentType="application/vnd.openxmlformats-officedocument.spreadsheetml.worksheet+xml"/>
  <Override PartName="/xl/drawings/drawing32.xml" ContentType="application/vnd.openxmlformats-officedocument.drawing+xml"/>
  <Override PartName="/xl/worksheets/sheet35.xml" ContentType="application/vnd.openxmlformats-officedocument.spreadsheetml.worksheet+xml"/>
  <Override PartName="/xl/drawings/drawing33.xml" ContentType="application/vnd.openxmlformats-officedocument.drawing+xml"/>
  <Override PartName="/xl/worksheets/sheet36.xml" ContentType="application/vnd.openxmlformats-officedocument.spreadsheetml.worksheet+xml"/>
  <Override PartName="/xl/drawings/drawing34.xml" ContentType="application/vnd.openxmlformats-officedocument.drawing+xml"/>
  <Override PartName="/xl/worksheets/sheet37.xml" ContentType="application/vnd.openxmlformats-officedocument.spreadsheetml.worksheet+xml"/>
  <Override PartName="/xl/drawings/drawing35.xml" ContentType="application/vnd.openxmlformats-officedocument.drawing+xml"/>
  <Override PartName="/xl/worksheets/sheet38.xml" ContentType="application/vnd.openxmlformats-officedocument.spreadsheetml.worksheet+xml"/>
  <Override PartName="/xl/drawings/drawing36.xml" ContentType="application/vnd.openxmlformats-officedocument.drawing+xml"/>
  <Override PartName="/xl/worksheets/sheet39.xml" ContentType="application/vnd.openxmlformats-officedocument.spreadsheetml.worksheet+xml"/>
  <Override PartName="/xl/drawings/drawing37.xml" ContentType="application/vnd.openxmlformats-officedocument.drawing+xml"/>
  <Override PartName="/xl/worksheets/sheet40.xml" ContentType="application/vnd.openxmlformats-officedocument.spreadsheetml.worksheet+xml"/>
  <Override PartName="/xl/drawings/drawing38.xml" ContentType="application/vnd.openxmlformats-officedocument.drawing+xml"/>
  <Override PartName="/xl/worksheets/sheet41.xml" ContentType="application/vnd.openxmlformats-officedocument.spreadsheetml.worksheet+xml"/>
  <Override PartName="/xl/drawings/drawing39.xml" ContentType="application/vnd.openxmlformats-officedocument.drawing+xml"/>
  <Override PartName="/xl/worksheets/sheet42.xml" ContentType="application/vnd.openxmlformats-officedocument.spreadsheetml.worksheet+xml"/>
  <Override PartName="/xl/drawings/drawing40.xml" ContentType="application/vnd.openxmlformats-officedocument.drawing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drawings/drawing41.xml" ContentType="application/vnd.openxmlformats-officedocument.drawing+xml"/>
  <Override PartName="/xl/worksheets/sheet45.xml" ContentType="application/vnd.openxmlformats-officedocument.spreadsheetml.worksheet+xml"/>
  <Override PartName="/xl/drawings/drawing42.xml" ContentType="application/vnd.openxmlformats-officedocument.drawing+xml"/>
  <Override PartName="/xl/worksheets/sheet46.xml" ContentType="application/vnd.openxmlformats-officedocument.spreadsheetml.worksheet+xml"/>
  <Override PartName="/xl/drawings/drawing43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280" yWindow="600" windowWidth="22520" windowHeight="16380" tabRatio="600" firstSheet="31" activeTab="41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Figure 1" sheetId="2" state="visible" r:id="rId2"/>
    <sheet xmlns:r="http://schemas.openxmlformats.org/officeDocument/2006/relationships" name="Figure 2" sheetId="3" state="visible" r:id="rId3"/>
    <sheet xmlns:r="http://schemas.openxmlformats.org/officeDocument/2006/relationships" name="Figure 3" sheetId="4" state="visible" r:id="rId4"/>
    <sheet xmlns:r="http://schemas.openxmlformats.org/officeDocument/2006/relationships" name="Figure 4" sheetId="5" state="visible" r:id="rId5"/>
    <sheet xmlns:r="http://schemas.openxmlformats.org/officeDocument/2006/relationships" name="Figure 5" sheetId="6" state="visible" r:id="rId6"/>
    <sheet xmlns:r="http://schemas.openxmlformats.org/officeDocument/2006/relationships" name="Figure 6" sheetId="7" state="visible" r:id="rId7"/>
    <sheet xmlns:r="http://schemas.openxmlformats.org/officeDocument/2006/relationships" name="Figure 7" sheetId="8" state="visible" r:id="rId8"/>
    <sheet xmlns:r="http://schemas.openxmlformats.org/officeDocument/2006/relationships" name="Figure 8" sheetId="9" state="visible" r:id="rId9"/>
    <sheet xmlns:r="http://schemas.openxmlformats.org/officeDocument/2006/relationships" name="Figure 9" sheetId="10" state="visible" r:id="rId10"/>
    <sheet xmlns:r="http://schemas.openxmlformats.org/officeDocument/2006/relationships" name="Figure 10" sheetId="11" state="visible" r:id="rId11"/>
    <sheet xmlns:r="http://schemas.openxmlformats.org/officeDocument/2006/relationships" name="Figure 11" sheetId="12" state="visible" r:id="rId12"/>
    <sheet xmlns:r="http://schemas.openxmlformats.org/officeDocument/2006/relationships" name="Figure 12" sheetId="13" state="visible" r:id="rId13"/>
    <sheet xmlns:r="http://schemas.openxmlformats.org/officeDocument/2006/relationships" name="Figure 13" sheetId="14" state="visible" r:id="rId14"/>
    <sheet xmlns:r="http://schemas.openxmlformats.org/officeDocument/2006/relationships" name="Figure 14" sheetId="15" state="visible" r:id="rId15"/>
    <sheet xmlns:r="http://schemas.openxmlformats.org/officeDocument/2006/relationships" name="Figure 15" sheetId="16" state="visible" r:id="rId16"/>
    <sheet xmlns:r="http://schemas.openxmlformats.org/officeDocument/2006/relationships" name="Figure 16" sheetId="17" state="visible" r:id="rId17"/>
    <sheet xmlns:r="http://schemas.openxmlformats.org/officeDocument/2006/relationships" name="Figure 17" sheetId="18" state="visible" r:id="rId18"/>
    <sheet xmlns:r="http://schemas.openxmlformats.org/officeDocument/2006/relationships" name="Figure 18" sheetId="19" state="visible" r:id="rId19"/>
    <sheet xmlns:r="http://schemas.openxmlformats.org/officeDocument/2006/relationships" name="Figure 19" sheetId="20" state="visible" r:id="rId20"/>
    <sheet xmlns:r="http://schemas.openxmlformats.org/officeDocument/2006/relationships" name="Figure 20" sheetId="21" state="visible" r:id="rId21"/>
    <sheet xmlns:r="http://schemas.openxmlformats.org/officeDocument/2006/relationships" name="Figure 21" sheetId="22" state="visible" r:id="rId22"/>
    <sheet xmlns:r="http://schemas.openxmlformats.org/officeDocument/2006/relationships" name="Figure 22" sheetId="23" state="visible" r:id="rId23"/>
    <sheet xmlns:r="http://schemas.openxmlformats.org/officeDocument/2006/relationships" name="Figure 23" sheetId="24" state="visible" r:id="rId24"/>
    <sheet xmlns:r="http://schemas.openxmlformats.org/officeDocument/2006/relationships" name="Figure 24" sheetId="25" state="visible" r:id="rId25"/>
    <sheet xmlns:r="http://schemas.openxmlformats.org/officeDocument/2006/relationships" name="Figure 25" sheetId="26" state="visible" r:id="rId26"/>
    <sheet xmlns:r="http://schemas.openxmlformats.org/officeDocument/2006/relationships" name="Figure 26" sheetId="27" state="visible" r:id="rId27"/>
    <sheet xmlns:r="http://schemas.openxmlformats.org/officeDocument/2006/relationships" name="Figure 27" sheetId="28" state="visible" r:id="rId28"/>
    <sheet xmlns:r="http://schemas.openxmlformats.org/officeDocument/2006/relationships" name="Figure 28" sheetId="29" state="visible" r:id="rId29"/>
    <sheet xmlns:r="http://schemas.openxmlformats.org/officeDocument/2006/relationships" name="Figure 29" sheetId="30" state="visible" r:id="rId30"/>
    <sheet xmlns:r="http://schemas.openxmlformats.org/officeDocument/2006/relationships" name="Figure 30" sheetId="31" state="visible" r:id="rId31"/>
    <sheet xmlns:r="http://schemas.openxmlformats.org/officeDocument/2006/relationships" name="Figure 31" sheetId="32" state="visible" r:id="rId32"/>
    <sheet xmlns:r="http://schemas.openxmlformats.org/officeDocument/2006/relationships" name="Figure 32" sheetId="33" state="visible" r:id="rId33"/>
    <sheet xmlns:r="http://schemas.openxmlformats.org/officeDocument/2006/relationships" name="Figure 33" sheetId="34" state="visible" r:id="rId34"/>
    <sheet xmlns:r="http://schemas.openxmlformats.org/officeDocument/2006/relationships" name="Figure 34" sheetId="35" state="visible" r:id="rId35"/>
    <sheet xmlns:r="http://schemas.openxmlformats.org/officeDocument/2006/relationships" name="Figure 35" sheetId="36" state="visible" r:id="rId36"/>
    <sheet xmlns:r="http://schemas.openxmlformats.org/officeDocument/2006/relationships" name="Figure 36" sheetId="37" state="visible" r:id="rId37"/>
    <sheet xmlns:r="http://schemas.openxmlformats.org/officeDocument/2006/relationships" name="Figure 37" sheetId="38" state="visible" r:id="rId38"/>
    <sheet xmlns:r="http://schemas.openxmlformats.org/officeDocument/2006/relationships" name="Figure 38" sheetId="39" state="visible" r:id="rId39"/>
    <sheet xmlns:r="http://schemas.openxmlformats.org/officeDocument/2006/relationships" name="Figure 39" sheetId="40" state="visible" r:id="rId40"/>
    <sheet xmlns:r="http://schemas.openxmlformats.org/officeDocument/2006/relationships" name="Figure 40" sheetId="41" state="visible" r:id="rId41"/>
    <sheet xmlns:r="http://schemas.openxmlformats.org/officeDocument/2006/relationships" name="Figure 41" sheetId="42" state="visible" r:id="rId42"/>
    <sheet xmlns:r="http://schemas.openxmlformats.org/officeDocument/2006/relationships" name="Figure 42" sheetId="43" state="visible" r:id="rId43"/>
    <sheet xmlns:r="http://schemas.openxmlformats.org/officeDocument/2006/relationships" name="Figure 43" sheetId="44" state="visible" r:id="rId44"/>
    <sheet xmlns:r="http://schemas.openxmlformats.org/officeDocument/2006/relationships" name="Figure 44" sheetId="45" state="visible" r:id="rId45"/>
    <sheet xmlns:r="http://schemas.openxmlformats.org/officeDocument/2006/relationships" name="Figure 45" sheetId="46" state="visible" r:id="rId46"/>
    <sheet xmlns:r="http://schemas.openxmlformats.org/officeDocument/2006/relationships" name="Figure 46" sheetId="47" state="visible" r:id="rId47"/>
    <sheet xmlns:r="http://schemas.openxmlformats.org/officeDocument/2006/relationships" name="Figure 47" sheetId="48" state="visible" r:id="rId48"/>
    <sheet xmlns:r="http://schemas.openxmlformats.org/officeDocument/2006/relationships" name="Figure 48" sheetId="49" state="visible" r:id="rId49"/>
    <sheet xmlns:r="http://schemas.openxmlformats.org/officeDocument/2006/relationships" name="Figure 49" sheetId="50" state="visible" r:id="rId50"/>
    <sheet xmlns:r="http://schemas.openxmlformats.org/officeDocument/2006/relationships" name="DOCX_TABLE_SYNC" sheetId="51" state="visible" r:id="rId51"/>
    <sheet xmlns:r="http://schemas.openxmlformats.org/officeDocument/2006/relationships" name="DOCX_FIGURE_HARMONIZATION" sheetId="52" state="visible" r:id="rId52"/>
    <sheet xmlns:r="http://schemas.openxmlformats.org/officeDocument/2006/relationships" name="Figure 50" sheetId="53" state="visible" r:id="rId5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b val="1"/>
      <color rgb="FF003057"/>
      <sz val="14"/>
      <scheme val="minor"/>
    </font>
    <font>
      <name val="Calibri"/>
      <family val="2"/>
      <i val="1"/>
      <color rgb="FF808080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00305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1"/>
    <xf numFmtId="0" fontId="4" fillId="0" borderId="0" pivotButton="0" quotePrefix="0" xfId="0"/>
    <xf numFmtId="0" fontId="5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Regulatory Timeline: The Push for Alternatives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'Figure 2'!$B$3</f>
              <strCache>
                <ptCount val="1"/>
                <pt idx="0">
                  <v>Event Impact (Scale 1-10)</v>
                </pt>
              </strCache>
            </strRef>
          </tx>
          <spPr>
            <a:ln xmlns:a="http://schemas.openxmlformats.org/drawingml/2006/main" w="2857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'Figure 2'!$A$4:$A$8</f>
              <numCache>
                <formatCode>General</formatCode>
                <ptCount val="5"/>
                <pt idx="0">
                  <v>2006</v>
                </pt>
                <pt idx="1">
                  <v>2017</v>
                </pt>
                <pt idx="2">
                  <v>2022</v>
                </pt>
                <pt idx="3">
                  <v>2024</v>
                </pt>
                <pt idx="4">
                  <v>2025</v>
                </pt>
              </numCache>
            </numRef>
          </cat>
          <val>
            <numRef>
              <f>'Figure 2'!$B$4:$B$8</f>
              <numCache>
                <formatCode>General</formatCode>
                <ptCount val="5"/>
                <pt idx="0">
                  <v>10</v>
                </pt>
                <pt idx="1">
                  <v>8</v>
                </pt>
                <pt idx="2">
                  <v>9</v>
                </pt>
                <pt idx="3">
                  <v>7</v>
                </pt>
                <pt idx="4">
                  <v>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0010001"/>
        <axId val="50010002"/>
      </lineChart>
      <catAx>
        <axId val="50010001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  <noMultiLvlLbl val="1"/>
      </catAx>
      <valAx>
        <axId val="50010002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Regulatory Pathways: Cost vs Claim Strength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strRef>
              <f>'Figure 3'!$B$3</f>
              <strCache>
                <ptCount val="1"/>
                <pt idx="0">
                  <v>Development Cost (m)</v>
                </pt>
              </strCache>
            </strRef>
          </tx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strRef>
              <f>'Figure 3'!$A$4:$A$6</f>
              <strCache>
                <ptCount val="3"/>
                <pt idx="0">
                  <v>Feed Material</v>
                </pt>
                <pt idx="1">
                  <v>Feed Additive</v>
                </pt>
                <pt idx="2">
                  <v>Veterinary Drug</v>
                </pt>
              </strCache>
            </strRef>
          </xVal>
          <yVal>
            <numRef>
              <f>'Figure 3'!$B$4:$B$6</f>
              <numCache>
                <formatCode>General</formatCode>
                <ptCount val="3"/>
                <pt idx="0">
                  <v>0.05</v>
                </pt>
                <pt idx="1">
                  <v>1.5</v>
                </pt>
                <pt idx="2">
                  <v>150</v>
                </pt>
              </numCache>
            </numRef>
          </yVal>
          <smooth val="1"/>
        </ser>
        <ser>
          <idx val="1"/>
          <order val="1"/>
          <tx>
            <strRef>
              <f>'Figure 3'!$C$3</f>
              <strCache>
                <ptCount val="1"/>
                <pt idx="0">
                  <v>Time to Market (Years)</v>
                </pt>
              </strCache>
            </strRef>
          </tx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strRef>
              <f>'Figure 3'!$A$4:$A$6</f>
              <strCache>
                <ptCount val="3"/>
                <pt idx="0">
                  <v>Feed Material</v>
                </pt>
                <pt idx="1">
                  <v>Feed Additive</v>
                </pt>
                <pt idx="2">
                  <v>Veterinary Drug</v>
                </pt>
              </strCache>
            </strRef>
          </xVal>
          <yVal>
            <numRef>
              <f>'Figure 3'!$C$4:$C$6</f>
              <numCache>
                <formatCode>General</formatCode>
                <ptCount val="3"/>
                <pt idx="0">
                  <v>0.5</v>
                </pt>
                <pt idx="1">
                  <v>2</v>
                </pt>
                <pt idx="2">
                  <v>7</v>
                </pt>
              </numCache>
            </numRef>
          </yVal>
          <smooth val="1"/>
        </ser>
        <ser>
          <idx val="2"/>
          <order val="2"/>
          <tx>
            <strRef>
              <f>'Figure 3'!$D$3</f>
              <strCache>
                <ptCount val="1"/>
                <pt idx="0">
                  <v>Claim Strength (1-10)</v>
                </pt>
              </strCache>
            </strRef>
          </tx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strRef>
              <f>'Figure 3'!$A$4:$A$6</f>
              <strCache>
                <ptCount val="3"/>
                <pt idx="0">
                  <v>Feed Material</v>
                </pt>
                <pt idx="1">
                  <v>Feed Additive</v>
                </pt>
                <pt idx="2">
                  <v>Veterinary Drug</v>
                </pt>
              </strCache>
            </strRef>
          </xVal>
          <yVal>
            <numRef>
              <f>'Figure 3'!$D$4:$D$6</f>
              <numCache>
                <formatCode>General</formatCode>
                <ptCount val="3"/>
                <pt idx="0">
                  <v>1</v>
                </pt>
                <pt idx="1">
                  <v>5</v>
                </pt>
                <pt idx="2">
                  <v>10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50020001"/>
        <axId val="50020002"/>
      </scatterChart>
      <valAx>
        <axId val="50020001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50020002"/>
        <crosses val="autoZero"/>
        <crossBetween val="midCat"/>
      </valAx>
      <valAx>
        <axId val="50020002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50020001"/>
        <crosses val="autoZero"/>
        <crossBetween val="midCat"/>
      </valAx>
    </plotArea>
    <legend>
      <legendPos val="r"/>
      <overlay val="1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Total Addressable Market (TAM) Reconciliation (2024)</a:t>
            </a:r>
          </a:p>
        </rich>
      </tx>
      <overlay val="1"/>
    </title>
    <plotArea>
      <layout/>
      <doughnutChart>
        <varyColors val="1"/>
        <ser>
          <idx val="0"/>
          <order val="0"/>
          <tx>
            <strRef>
              <f>'Figure 4'!$B$3</f>
              <strCache>
                <ptCount val="1"/>
                <pt idx="0">
                  <v>Value (bn)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'Figure 4'!$A$4:$A$6</f>
              <strCache>
                <ptCount val="3"/>
                <pt idx="0">
                  <v>Total Addressable Market (TAM)</v>
                </pt>
                <pt idx="1">
                  <v>Serviceable Addressable Market (SAM)</v>
                </pt>
                <pt idx="2">
                  <v>Serviceable Obtainable Market (SOM)</v>
                </pt>
              </strCache>
            </strRef>
          </cat>
          <val>
            <numRef>
              <f>'Figure 4'!$B$4:$B$6</f>
              <numCache>
                <formatCode>General</formatCode>
                <ptCount val="3"/>
                <pt idx="0">
                  <v>123</v>
                </pt>
                <pt idx="1">
                  <v>13</v>
                </pt>
                <pt idx="2">
                  <v>0.25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/>
          </a:r>
          <a:endParaRPr lang="en-US"/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The Innovation-Premium Matrix: R&amp;D Intensity vs Margins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strRef>
              <f>'Figure 5'!$B$3</f>
              <strCache>
                <ptCount val="1"/>
                <pt idx="0">
                  <v>R&amp;D Intensity (%)</v>
                </pt>
              </strCache>
            </strRef>
          </tx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strRef>
              <f>'Figure 5'!$A$4:$A$18</f>
              <strCache>
                <ptCount val="15"/>
                <pt idx="0">
                  <v>Novonesis</v>
                </pt>
                <pt idx="1">
                  <v>Zoetis</v>
                </pt>
                <pt idx="2">
                  <v>Elanco</v>
                </pt>
                <pt idx="3">
                  <v>Vetoquinol</v>
                </pt>
                <pt idx="4">
                  <v>DSM-Firmenich</v>
                </pt>
                <pt idx="5">
                  <v>Virbac</v>
                </pt>
                <pt idx="6">
                  <v>H&amp;H Group</v>
                </pt>
                <pt idx="7">
                  <v>Symrise (Pet)</v>
                </pt>
                <pt idx="8">
                  <v>Phibro</v>
                </pt>
                <pt idx="9">
                  <v>ForFarmers</v>
                </pt>
                <pt idx="10">
                  <v>Dechra</v>
                </pt>
                <pt idx="11">
                  <v>Balchem</v>
                </pt>
                <pt idx="12">
                  <v>Givaudan</v>
                </pt>
                <pt idx="13">
                  <v>Swedencare</v>
                </pt>
                <pt idx="14">
                  <v>Aker BioMarine</v>
                </pt>
              </strCache>
            </strRef>
          </xVal>
          <yVal>
            <numRef>
              <f>'Figure 5'!$B$4:$B$18</f>
              <numCache>
                <formatCode>General</formatCode>
                <ptCount val="15"/>
                <pt idx="0">
                  <v>10.8</v>
                </pt>
                <pt idx="1">
                  <v>8</v>
                </pt>
                <pt idx="2">
                  <v>7.7</v>
                </pt>
                <pt idx="3">
                  <v>8.1</v>
                </pt>
                <pt idx="4">
                  <v>5.5</v>
                </pt>
                <pt idx="5">
                  <v>8</v>
                </pt>
                <pt idx="6">
                  <v>1.8</v>
                </pt>
                <pt idx="7">
                  <v>6.5</v>
                </pt>
                <pt idx="8">
                  <v>2.9</v>
                </pt>
                <pt idx="9">
                  <v>0.8</v>
                </pt>
                <pt idx="10">
                  <v>7.5</v>
                </pt>
                <pt idx="11">
                  <v>1.5</v>
                </pt>
                <pt idx="12">
                  <v>8</v>
                </pt>
                <pt idx="13">
                  <v>0.1</v>
                </pt>
                <pt idx="14">
                  <v>0.5</v>
                </pt>
              </numCache>
            </numRef>
          </yVal>
          <smooth val="1"/>
        </ser>
        <ser>
          <idx val="1"/>
          <order val="1"/>
          <tx>
            <strRef>
              <f>'Figure 5'!$C$3</f>
              <strCache>
                <ptCount val="1"/>
                <pt idx="0">
                  <v>EBITDA Margin (%)</v>
                </pt>
              </strCache>
            </strRef>
          </tx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strRef>
              <f>'Figure 5'!$A$4:$A$18</f>
              <strCache>
                <ptCount val="15"/>
                <pt idx="0">
                  <v>Novonesis</v>
                </pt>
                <pt idx="1">
                  <v>Zoetis</v>
                </pt>
                <pt idx="2">
                  <v>Elanco</v>
                </pt>
                <pt idx="3">
                  <v>Vetoquinol</v>
                </pt>
                <pt idx="4">
                  <v>DSM-Firmenich</v>
                </pt>
                <pt idx="5">
                  <v>Virbac</v>
                </pt>
                <pt idx="6">
                  <v>H&amp;H Group</v>
                </pt>
                <pt idx="7">
                  <v>Symrise (Pet)</v>
                </pt>
                <pt idx="8">
                  <v>Phibro</v>
                </pt>
                <pt idx="9">
                  <v>ForFarmers</v>
                </pt>
                <pt idx="10">
                  <v>Dechra</v>
                </pt>
                <pt idx="11">
                  <v>Balchem</v>
                </pt>
                <pt idx="12">
                  <v>Givaudan</v>
                </pt>
                <pt idx="13">
                  <v>Swedencare</v>
                </pt>
                <pt idx="14">
                  <v>Aker BioMarine</v>
                </pt>
              </strCache>
            </strRef>
          </xVal>
          <yVal>
            <numRef>
              <f>'Figure 5'!$C$4:$C$18</f>
              <numCache>
                <formatCode>General</formatCode>
                <ptCount val="15"/>
                <pt idx="0">
                  <v>36.1</v>
                </pt>
                <pt idx="1">
                  <v>38</v>
                </pt>
                <pt idx="2">
                  <v>20.5</v>
                </pt>
                <pt idx="3">
                  <v>19.3</v>
                </pt>
                <pt idx="4">
                  <v>16.5</v>
                </pt>
                <pt idx="5">
                  <v>16</v>
                </pt>
                <pt idx="6">
                  <v>15</v>
                </pt>
                <pt idx="7">
                  <v>22.2</v>
                </pt>
                <pt idx="8">
                  <v>11</v>
                </pt>
                <pt idx="9">
                  <v>4</v>
                </pt>
                <pt idx="10">
                  <v>22</v>
                </pt>
                <pt idx="11">
                  <v>7</v>
                </pt>
                <pt idx="12">
                  <v>24</v>
                </pt>
                <pt idx="13">
                  <v>22</v>
                </pt>
                <pt idx="14">
                  <v>15</v>
                </pt>
              </numCache>
            </numRef>
          </yVal>
          <smooth val="1"/>
        </ser>
        <ser>
          <idx val="2"/>
          <order val="2"/>
          <tx>
            <strRef>
              <f>'Figure 5'!$D$3</f>
              <strCache>
                <ptCount val="1"/>
                <pt idx="0">
                  <v>Sector</v>
                </pt>
              </strCache>
            </strRef>
          </tx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strRef>
              <f>'Figure 5'!$A$4:$A$18</f>
              <strCache>
                <ptCount val="15"/>
                <pt idx="0">
                  <v>Novonesis</v>
                </pt>
                <pt idx="1">
                  <v>Zoetis</v>
                </pt>
                <pt idx="2">
                  <v>Elanco</v>
                </pt>
                <pt idx="3">
                  <v>Vetoquinol</v>
                </pt>
                <pt idx="4">
                  <v>DSM-Firmenich</v>
                </pt>
                <pt idx="5">
                  <v>Virbac</v>
                </pt>
                <pt idx="6">
                  <v>H&amp;H Group</v>
                </pt>
                <pt idx="7">
                  <v>Symrise (Pet)</v>
                </pt>
                <pt idx="8">
                  <v>Phibro</v>
                </pt>
                <pt idx="9">
                  <v>ForFarmers</v>
                </pt>
                <pt idx="10">
                  <v>Dechra</v>
                </pt>
                <pt idx="11">
                  <v>Balchem</v>
                </pt>
                <pt idx="12">
                  <v>Givaudan</v>
                </pt>
                <pt idx="13">
                  <v>Swedencare</v>
                </pt>
                <pt idx="14">
                  <v>Aker BioMarine</v>
                </pt>
              </strCache>
            </strRef>
          </xVal>
          <yVal>
            <numRef>
              <f>'Figure 5'!$D$4:$D$18</f>
              <numCache>
                <formatCode>General</formatCode>
                <ptCount val="1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50040001"/>
        <axId val="50040002"/>
      </scatterChart>
      <valAx>
        <axId val="50040001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50040002"/>
        <crosses val="autoZero"/>
        <crossBetween val="midCat"/>
      </valAx>
      <valAx>
        <axId val="50040002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50040001"/>
        <crosses val="autoZero"/>
        <crossBetween val="midCat"/>
      </valAx>
    </plotArea>
    <legend>
      <legendPos val="r"/>
      <overlay val="1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Market Bifurcation: Structural Economics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'Figure 6'!$B$3</f>
              <strCache>
                <ptCount val="1"/>
                <pt idx="0">
                  <v>Pet (Emotional Economy)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6'!$A$4:$A$7</f>
              <strCache>
                <ptCount val="4"/>
                <pt idx="0">
                  <v>R&amp;D Intensity</v>
                </pt>
                <pt idx="1">
                  <v>Gross Margin</v>
                </pt>
                <pt idx="2">
                  <v>Price Sensitivity (Inv)</v>
                </pt>
                <pt idx="3">
                  <v>Brand Loyalty</v>
                </pt>
              </strCache>
            </strRef>
          </cat>
          <val>
            <numRef>
              <f>'Figure 6'!$B$4:$B$7</f>
              <numCache>
                <formatCode>General</formatCode>
                <ptCount val="4"/>
                <pt idx="0">
                  <v>9</v>
                </pt>
                <pt idx="1">
                  <v>7.5</v>
                </pt>
                <pt idx="2">
                  <v>8</v>
                </pt>
                <pt idx="3">
                  <v>8.5</v>
                </pt>
              </numCache>
            </numRef>
          </val>
        </ser>
        <ser>
          <idx val="1"/>
          <order val="1"/>
          <tx>
            <strRef>
              <f>'Figure 6'!$C$3</f>
              <strCache>
                <ptCount val="1"/>
                <pt idx="0">
                  <v>Livestock (ROI Economy)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6'!$A$4:$A$7</f>
              <strCache>
                <ptCount val="4"/>
                <pt idx="0">
                  <v>R&amp;D Intensity</v>
                </pt>
                <pt idx="1">
                  <v>Gross Margin</v>
                </pt>
                <pt idx="2">
                  <v>Price Sensitivity (Inv)</v>
                </pt>
                <pt idx="3">
                  <v>Brand Loyalty</v>
                </pt>
              </strCache>
            </strRef>
          </cat>
          <val>
            <numRef>
              <f>'Figure 6'!$C$4:$C$7</f>
              <numCache>
                <formatCode>General</formatCode>
                <ptCount val="4"/>
                <pt idx="0">
                  <v>2</v>
                </pt>
                <pt idx="1">
                  <v>1.5</v>
                </pt>
                <pt idx="2">
                  <v>2</v>
                </pt>
                <pt idx="3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50001"/>
        <axId val="50050002"/>
      </barChart>
      <catAx>
        <axId val="50050001"/>
        <scaling>
          <orientation val="minMax"/>
        </scaling>
        <delete val="1"/>
        <axPos val="b"/>
        <numFmt formatCode="General" sourceLinked="0"/>
        <majorTickMark val="none"/>
        <minorTickMark val="none"/>
        <tickLblPos val="nextTo"/>
        <crossAx val="50050002"/>
        <crosses val="autoZero"/>
        <auto val="1"/>
        <lblAlgn val="ctr"/>
        <lblOffset val="100"/>
        <noMultiLvlLbl val="1"/>
      </catAx>
      <valAx>
        <axId val="50050002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5005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Mobility Market: Efficacy vs Value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'Figure 7'!$B$3</f>
              <strCache>
                <ptCount val="1"/>
                <pt idx="0">
                  <v>Evidence Level (1-10)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7'!$A$4:$A$9</f>
              <strCache>
                <ptCount val="6"/>
                <pt idx="0">
                  <v>Omega-3</v>
                </pt>
                <pt idx="1">
                  <v>UC-II Collagen</v>
                </pt>
                <pt idx="2">
                  <v>Eggshell Membrane</v>
                </pt>
                <pt idx="3">
                  <v>Green Lipped Mussel</v>
                </pt>
                <pt idx="4">
                  <v>Glucosamine/Chondroitin</v>
                </pt>
                <pt idx="5">
                  <v>MSM</v>
                </pt>
              </strCache>
            </strRef>
          </cat>
          <val>
            <numRef>
              <f>'Figure 7'!$B$4:$B$9</f>
              <numCache>
                <formatCode>General</formatCode>
                <ptCount val="6"/>
                <pt idx="0">
                  <v>9</v>
                </pt>
                <pt idx="1">
                  <v>8</v>
                </pt>
                <pt idx="2">
                  <v>7</v>
                </pt>
                <pt idx="3">
                  <v>7</v>
                </pt>
                <pt idx="4">
                  <v>5</v>
                </pt>
                <pt idx="5">
                  <v>4</v>
                </pt>
              </numCache>
            </numRef>
          </val>
        </ser>
        <ser>
          <idx val="1"/>
          <order val="1"/>
          <tx>
            <strRef>
              <f>'Figure 7'!$C$3</f>
              <strCache>
                <ptCount val="1"/>
                <pt idx="0">
                  <v>Est. Value (m)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7'!$A$4:$A$9</f>
              <strCache>
                <ptCount val="6"/>
                <pt idx="0">
                  <v>Omega-3</v>
                </pt>
                <pt idx="1">
                  <v>UC-II Collagen</v>
                </pt>
                <pt idx="2">
                  <v>Eggshell Membrane</v>
                </pt>
                <pt idx="3">
                  <v>Green Lipped Mussel</v>
                </pt>
                <pt idx="4">
                  <v>Glucosamine/Chondroitin</v>
                </pt>
                <pt idx="5">
                  <v>MSM</v>
                </pt>
              </strCache>
            </strRef>
          </cat>
          <val>
            <numRef>
              <f>'Figure 7'!$C$4:$C$9</f>
              <numCache>
                <formatCode>General</formatCode>
                <ptCount val="6"/>
                <pt idx="0">
                  <v>315</v>
                </pt>
                <pt idx="1">
                  <v>51</v>
                </pt>
                <pt idx="2">
                  <v>16</v>
                </pt>
                <pt idx="3">
                  <v>45</v>
                </pt>
                <pt idx="4">
                  <v>291</v>
                </pt>
                <pt idx="5">
                  <v>58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60001"/>
        <axId val="50060002"/>
      </barChart>
      <catAx>
        <axId val="50060001"/>
        <scaling>
          <orientation val="minMax"/>
        </scaling>
        <delete val="1"/>
        <axPos val="l"/>
        <numFmt formatCode="General" sourceLinked="0"/>
        <majorTickMark val="none"/>
        <minorTickMark val="none"/>
        <tickLblPos val="nextTo"/>
        <crossAx val="50060002"/>
        <crosses val="autoZero"/>
        <auto val="1"/>
        <lblAlgn val="ctr"/>
        <lblOffset val="100"/>
        <noMultiLvlLbl val="1"/>
      </catAx>
      <valAx>
        <axId val="50060002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5006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Gut Health Market: Efficacy vs Value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'Figure 8'!$B$3</f>
              <strCache>
                <ptCount val="1"/>
                <pt idx="0">
                  <v>Evidence Level (1-10)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8'!$A$4:$A$9</f>
              <strCache>
                <ptCount val="6"/>
                <pt idx="0">
                  <v>Probiotics (Specific)</v>
                </pt>
                <pt idx="1">
                  <v>Prebiotics (MOS/FOS)</v>
                </pt>
                <pt idx="2">
                  <v>Synbiotics</v>
                </pt>
                <pt idx="3">
                  <v>Postbiotics/Butyrate</v>
                </pt>
                <pt idx="4">
                  <v>Organic Acids</v>
                </pt>
                <pt idx="5">
                  <v>Enzymes (Phytase)</v>
                </pt>
              </strCache>
            </strRef>
          </cat>
          <val>
            <numRef>
              <f>'Figure 8'!$B$4:$B$9</f>
              <numCache>
                <formatCode>General</formatCode>
                <ptCount val="6"/>
                <pt idx="0">
                  <v>9</v>
                </pt>
                <pt idx="1">
                  <v>7</v>
                </pt>
                <pt idx="2">
                  <v>7</v>
                </pt>
                <pt idx="3">
                  <v>7</v>
                </pt>
                <pt idx="4">
                  <v>7</v>
                </pt>
                <pt idx="5">
                  <v>9</v>
                </pt>
              </numCache>
            </numRef>
          </val>
        </ser>
        <ser>
          <idx val="1"/>
          <order val="1"/>
          <tx>
            <strRef>
              <f>'Figure 8'!$C$3</f>
              <strCache>
                <ptCount val="1"/>
                <pt idx="0">
                  <v>Est. Value (m)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8'!$A$4:$A$9</f>
              <strCache>
                <ptCount val="6"/>
                <pt idx="0">
                  <v>Probiotics (Specific)</v>
                </pt>
                <pt idx="1">
                  <v>Prebiotics (MOS/FOS)</v>
                </pt>
                <pt idx="2">
                  <v>Synbiotics</v>
                </pt>
                <pt idx="3">
                  <v>Postbiotics/Butyrate</v>
                </pt>
                <pt idx="4">
                  <v>Organic Acids</v>
                </pt>
                <pt idx="5">
                  <v>Enzymes (Phytase)</v>
                </pt>
              </strCache>
            </strRef>
          </cat>
          <val>
            <numRef>
              <f>'Figure 8'!$C$4:$C$9</f>
              <numCache>
                <formatCode>General</formatCode>
                <ptCount val="6"/>
                <pt idx="0">
                  <v>1590</v>
                </pt>
                <pt idx="1">
                  <v>157</v>
                </pt>
                <pt idx="2">
                  <v>303</v>
                </pt>
                <pt idx="3">
                  <v>173</v>
                </pt>
                <pt idx="4">
                  <v>266</v>
                </pt>
                <pt idx="5">
                  <v>424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70001"/>
        <axId val="50070002"/>
      </barChart>
      <catAx>
        <axId val="50070001"/>
        <scaling>
          <orientation val="minMax"/>
        </scaling>
        <delete val="1"/>
        <axPos val="l"/>
        <numFmt formatCode="General" sourceLinked="0"/>
        <majorTickMark val="none"/>
        <minorTickMark val="none"/>
        <tickLblPos val="nextTo"/>
        <crossAx val="50070002"/>
        <crosses val="autoZero"/>
        <auto val="1"/>
        <lblAlgn val="ctr"/>
        <lblOffset val="100"/>
        <noMultiLvlLbl val="1"/>
      </catAx>
      <valAx>
        <axId val="50070002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5007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Immunity Market: Efficacy vs Value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'Figure 9'!$B$3</f>
              <strCache>
                <ptCount val="1"/>
                <pt idx="0">
                  <v>Evidence Level (1-10)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9'!$A$4:$A$8</f>
              <strCache>
                <ptCount val="5"/>
                <pt idx="0">
                  <v>Beta-glucans</v>
                </pt>
                <pt idx="1">
                  <v>Plasma/Colostrum</v>
                </pt>
                <pt idx="2">
                  <v>Nucleotides</v>
                </pt>
                <pt idx="3">
                  <v>Seaweed Polysaccharides</v>
                </pt>
                <pt idx="4">
                  <v>Selenium/Vit E</v>
                </pt>
              </strCache>
            </strRef>
          </cat>
          <val>
            <numRef>
              <f>'Figure 9'!$B$4:$B$8</f>
              <numCache>
                <formatCode>General</formatCode>
                <ptCount val="5"/>
                <pt idx="0">
                  <v>7</v>
                </pt>
                <pt idx="1">
                  <v>8</v>
                </pt>
                <pt idx="2">
                  <v>7</v>
                </pt>
                <pt idx="3">
                  <v>6</v>
                </pt>
                <pt idx="4">
                  <v>7</v>
                </pt>
              </numCache>
            </numRef>
          </val>
        </ser>
        <ser>
          <idx val="1"/>
          <order val="1"/>
          <tx>
            <strRef>
              <f>'Figure 9'!$C$3</f>
              <strCache>
                <ptCount val="1"/>
                <pt idx="0">
                  <v>Est. Value (m)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9'!$A$4:$A$8</f>
              <strCache>
                <ptCount val="5"/>
                <pt idx="0">
                  <v>Beta-glucans</v>
                </pt>
                <pt idx="1">
                  <v>Plasma/Colostrum</v>
                </pt>
                <pt idx="2">
                  <v>Nucleotides</v>
                </pt>
                <pt idx="3">
                  <v>Seaweed Polysaccharides</v>
                </pt>
                <pt idx="4">
                  <v>Selenium/Vit E</v>
                </pt>
              </strCache>
            </strRef>
          </cat>
          <val>
            <numRef>
              <f>'Figure 9'!$C$4:$C$8</f>
              <numCache>
                <formatCode>General</formatCode>
                <ptCount val="5"/>
                <pt idx="0">
                  <v>9</v>
                </pt>
                <pt idx="1">
                  <v>533</v>
                </pt>
                <pt idx="2">
                  <v>151</v>
                </pt>
                <pt idx="3">
                  <v>1080</v>
                </pt>
                <pt idx="4">
                  <v>68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80001"/>
        <axId val="50080002"/>
      </barChart>
      <catAx>
        <axId val="50080001"/>
        <scaling>
          <orientation val="minMax"/>
        </scaling>
        <delete val="1"/>
        <axPos val="l"/>
        <numFmt formatCode="General" sourceLinked="0"/>
        <majorTickMark val="none"/>
        <minorTickMark val="none"/>
        <tickLblPos val="nextTo"/>
        <crossAx val="50080002"/>
        <crosses val="autoZero"/>
        <auto val="1"/>
        <lblAlgn val="ctr"/>
        <lblOffset val="100"/>
        <noMultiLvlLbl val="1"/>
      </catAx>
      <valAx>
        <axId val="50080002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5008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Cognitive Health: Efficacy vs Value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'Figure 10'!$B$3</f>
              <strCache>
                <ptCount val="1"/>
                <pt idx="0">
                  <v>Evidence Level (1-10)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10'!$A$4:$A$9</f>
              <strCache>
                <ptCount val="6"/>
                <pt idx="0">
                  <v>MCTs</v>
                </pt>
                <pt idx="1">
                  <v>DHA (Omega-3)</v>
                </pt>
                <pt idx="2">
                  <v>Antioxidants</v>
                </pt>
                <pt idx="3">
                  <v>Phosphatidylserine</v>
                </pt>
                <pt idx="4">
                  <v>SAMe</v>
                </pt>
                <pt idx="5">
                  <v>B Vitamins</v>
                </pt>
              </strCache>
            </strRef>
          </cat>
          <val>
            <numRef>
              <f>'Figure 10'!$B$4:$B$9</f>
              <numCache>
                <formatCode>General</formatCode>
                <ptCount val="6"/>
                <pt idx="0">
                  <v>9</v>
                </pt>
                <pt idx="1">
                  <v>8</v>
                </pt>
                <pt idx="2">
                  <v>8</v>
                </pt>
                <pt idx="3">
                  <v>5</v>
                </pt>
                <pt idx="4">
                  <v>5</v>
                </pt>
                <pt idx="5">
                  <v>5</v>
                </pt>
              </numCache>
            </numRef>
          </val>
        </ser>
        <ser>
          <idx val="1"/>
          <order val="1"/>
          <tx>
            <strRef>
              <f>'Figure 10'!$C$3</f>
              <strCache>
                <ptCount val="1"/>
                <pt idx="0">
                  <v>Est. Value (m)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10'!$A$4:$A$9</f>
              <strCache>
                <ptCount val="6"/>
                <pt idx="0">
                  <v>MCTs</v>
                </pt>
                <pt idx="1">
                  <v>DHA (Omega-3)</v>
                </pt>
                <pt idx="2">
                  <v>Antioxidants</v>
                </pt>
                <pt idx="3">
                  <v>Phosphatidylserine</v>
                </pt>
                <pt idx="4">
                  <v>SAMe</v>
                </pt>
                <pt idx="5">
                  <v>B Vitamins</v>
                </pt>
              </strCache>
            </strRef>
          </cat>
          <val>
            <numRef>
              <f>'Figure 10'!$C$4:$C$9</f>
              <numCache>
                <formatCode>General</formatCode>
                <ptCount val="6"/>
                <pt idx="0">
                  <v>109</v>
                </pt>
                <pt idx="1">
                  <v>85</v>
                </pt>
                <pt idx="2">
                  <v>73</v>
                </pt>
                <pt idx="3">
                  <v>4</v>
                </pt>
                <pt idx="4">
                  <v>24</v>
                </pt>
                <pt idx="5">
                  <v>17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90001"/>
        <axId val="50090002"/>
      </barChart>
      <catAx>
        <axId val="50090001"/>
        <scaling>
          <orientation val="minMax"/>
        </scaling>
        <delete val="1"/>
        <axPos val="l"/>
        <numFmt formatCode="General" sourceLinked="0"/>
        <majorTickMark val="none"/>
        <minorTickMark val="none"/>
        <tickLblPos val="nextTo"/>
        <crossAx val="50090002"/>
        <crosses val="autoZero"/>
        <auto val="1"/>
        <lblAlgn val="ctr"/>
        <lblOffset val="100"/>
        <noMultiLvlLbl val="1"/>
      </catAx>
      <valAx>
        <axId val="50090002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5009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Calming Sector: Efficacy vs Value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'Figure 11'!$B$3</f>
              <strCache>
                <ptCount val="1"/>
                <pt idx="0">
                  <v>Evidence Level (1-10)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11'!$A$4:$A$8</f>
              <strCache>
                <ptCount val="5"/>
                <pt idx="0">
                  <v>L-Theanine</v>
                </pt>
                <pt idx="1">
                  <v>Alpha-Casozepine</v>
                </pt>
                <pt idx="2">
                  <v>Tryptophan</v>
                </pt>
                <pt idx="3">
                  <v>CBD/Hemp</v>
                </pt>
                <pt idx="4">
                  <v>Multi-Complexes</v>
                </pt>
              </strCache>
            </strRef>
          </cat>
          <val>
            <numRef>
              <f>'Figure 11'!$B$4:$B$8</f>
              <numCache>
                <formatCode>General</formatCode>
                <ptCount val="5"/>
                <pt idx="0">
                  <v>7</v>
                </pt>
                <pt idx="1">
                  <v>7</v>
                </pt>
                <pt idx="2">
                  <v>6</v>
                </pt>
                <pt idx="3">
                  <v>6</v>
                </pt>
                <pt idx="4">
                  <v>5</v>
                </pt>
              </numCache>
            </numRef>
          </val>
        </ser>
        <ser>
          <idx val="1"/>
          <order val="1"/>
          <tx>
            <strRef>
              <f>'Figure 11'!$C$3</f>
              <strCache>
                <ptCount val="1"/>
                <pt idx="0">
                  <v>Est. Value (m)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11'!$A$4:$A$8</f>
              <strCache>
                <ptCount val="5"/>
                <pt idx="0">
                  <v>L-Theanine</v>
                </pt>
                <pt idx="1">
                  <v>Alpha-Casozepine</v>
                </pt>
                <pt idx="2">
                  <v>Tryptophan</v>
                </pt>
                <pt idx="3">
                  <v>CBD/Hemp</v>
                </pt>
                <pt idx="4">
                  <v>Multi-Complexes</v>
                </pt>
              </strCache>
            </strRef>
          </cat>
          <val>
            <numRef>
              <f>'Figure 11'!$C$4:$C$8</f>
              <numCache>
                <formatCode>General</formatCode>
                <ptCount val="5"/>
                <pt idx="0">
                  <v>12</v>
                </pt>
                <pt idx="1">
                  <v>7</v>
                </pt>
                <pt idx="2">
                  <v>19</v>
                </pt>
                <pt idx="3">
                  <v>80</v>
                </pt>
                <pt idx="4">
                  <v>121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100001"/>
        <axId val="50100002"/>
      </barChart>
      <catAx>
        <axId val="50100001"/>
        <scaling>
          <orientation val="minMax"/>
        </scaling>
        <delete val="1"/>
        <axPos val="l"/>
        <numFmt formatCode="General" sourceLinked="0"/>
        <majorTickMark val="none"/>
        <minorTickMark val="none"/>
        <tickLblPos val="nextTo"/>
        <crossAx val="50100002"/>
        <crosses val="autoZero"/>
        <auto val="1"/>
        <lblAlgn val="ctr"/>
        <lblOffset val="100"/>
        <noMultiLvlLbl val="1"/>
      </catAx>
      <valAx>
        <axId val="50100002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5010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Performance/FCR: Efficacy vs Value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'Figure 12'!$B$3</f>
              <strCache>
                <ptCount val="1"/>
                <pt idx="0">
                  <v>Evidence Level (1-10)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12'!$A$4:$A$9</f>
              <strCache>
                <ptCount val="6"/>
                <pt idx="0">
                  <v>Phytase</v>
                </pt>
                <pt idx="1">
                  <v>Xylanase</v>
                </pt>
                <pt idx="2">
                  <v>Protease</v>
                </pt>
                <pt idx="3">
                  <v>Phytogenics</v>
                </pt>
                <pt idx="4">
                  <v>Yeast Culture</v>
                </pt>
                <pt idx="5">
                  <v>Amino Acids</v>
                </pt>
              </strCache>
            </strRef>
          </cat>
          <val>
            <numRef>
              <f>'Figure 12'!$B$4:$B$9</f>
              <numCache>
                <formatCode>General</formatCode>
                <ptCount val="6"/>
                <pt idx="0">
                  <v>10</v>
                </pt>
                <pt idx="1">
                  <v>10</v>
                </pt>
                <pt idx="2">
                  <v>8</v>
                </pt>
                <pt idx="3">
                  <v>7</v>
                </pt>
                <pt idx="4">
                  <v>7</v>
                </pt>
                <pt idx="5">
                  <v>8</v>
                </pt>
              </numCache>
            </numRef>
          </val>
        </ser>
        <ser>
          <idx val="1"/>
          <order val="1"/>
          <tx>
            <strRef>
              <f>'Figure 12'!$C$3</f>
              <strCache>
                <ptCount val="1"/>
                <pt idx="0">
                  <v>Est. Value (m)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12'!$A$4:$A$9</f>
              <strCache>
                <ptCount val="6"/>
                <pt idx="0">
                  <v>Phytase</v>
                </pt>
                <pt idx="1">
                  <v>Xylanase</v>
                </pt>
                <pt idx="2">
                  <v>Protease</v>
                </pt>
                <pt idx="3">
                  <v>Phytogenics</v>
                </pt>
                <pt idx="4">
                  <v>Yeast Culture</v>
                </pt>
                <pt idx="5">
                  <v>Amino Acids</v>
                </pt>
              </strCache>
            </strRef>
          </cat>
          <val>
            <numRef>
              <f>'Figure 12'!$C$4:$C$9</f>
              <numCache>
                <formatCode>General</formatCode>
                <ptCount val="6"/>
                <pt idx="0">
                  <v>145</v>
                </pt>
                <pt idx="1">
                  <v>242</v>
                </pt>
                <pt idx="2">
                  <v>48</v>
                </pt>
                <pt idx="3">
                  <v>216</v>
                </pt>
                <pt idx="4">
                  <v>484</v>
                </pt>
                <pt idx="5">
                  <v>291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110001"/>
        <axId val="50110002"/>
      </barChart>
      <catAx>
        <axId val="50110001"/>
        <scaling>
          <orientation val="minMax"/>
        </scaling>
        <delete val="1"/>
        <axPos val="l"/>
        <numFmt formatCode="General" sourceLinked="0"/>
        <majorTickMark val="none"/>
        <minorTickMark val="none"/>
        <tickLblPos val="nextTo"/>
        <crossAx val="50110002"/>
        <crosses val="autoZero"/>
        <auto val="1"/>
        <lblAlgn val="ctr"/>
        <lblOffset val="100"/>
        <noMultiLvlLbl val="1"/>
      </catAx>
      <valAx>
        <axId val="50110002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5011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Special Niches: Efficacy vs Value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'Figure 13'!$B$3</f>
              <strCache>
                <ptCount val="1"/>
                <pt idx="0">
                  <v>Mobility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13'!$A$4:$A$7</f>
              <strCache>
                <ptCount val="4"/>
                <pt idx="0">
                  <v>Dogs</v>
                </pt>
                <pt idx="1">
                  <v>Cats</v>
                </pt>
                <pt idx="2">
                  <v>Poultry</v>
                </pt>
                <pt idx="3">
                  <v>Swine</v>
                </pt>
              </strCache>
            </strRef>
          </cat>
          <val>
            <numRef>
              <f>'Figure 13'!$B$4:$B$7</f>
              <numCache>
                <formatCode>General</formatCode>
                <ptCount val="4"/>
                <pt idx="0">
                  <v>9</v>
                </pt>
                <pt idx="1">
                  <v>7</v>
                </pt>
                <pt idx="2">
                  <v>1</v>
                </pt>
                <pt idx="3">
                  <v>1</v>
                </pt>
              </numCache>
            </numRef>
          </val>
        </ser>
        <ser>
          <idx val="1"/>
          <order val="1"/>
          <tx>
            <strRef>
              <f>'Figure 13'!$C$3</f>
              <strCache>
                <ptCount val="1"/>
                <pt idx="0">
                  <v>Behavior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13'!$A$4:$A$7</f>
              <strCache>
                <ptCount val="4"/>
                <pt idx="0">
                  <v>Dogs</v>
                </pt>
                <pt idx="1">
                  <v>Cats</v>
                </pt>
                <pt idx="2">
                  <v>Poultry</v>
                </pt>
                <pt idx="3">
                  <v>Swine</v>
                </pt>
              </strCache>
            </strRef>
          </cat>
          <val>
            <numRef>
              <f>'Figure 13'!$C$4:$C$7</f>
              <numCache>
                <formatCode>General</formatCode>
                <ptCount val="4"/>
                <pt idx="0">
                  <v>7</v>
                </pt>
                <pt idx="1">
                  <v>8</v>
                </pt>
                <pt idx="2">
                  <v>1</v>
                </pt>
                <pt idx="3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120001"/>
        <axId val="50120002"/>
      </barChart>
      <catAx>
        <axId val="50120001"/>
        <scaling>
          <orientation val="minMax"/>
        </scaling>
        <delete val="1"/>
        <axPos val="l"/>
        <numFmt formatCode="General" sourceLinked="0"/>
        <majorTickMark val="none"/>
        <minorTickMark val="none"/>
        <tickLblPos val="nextTo"/>
        <crossAx val="50120002"/>
        <crosses val="autoZero"/>
        <auto val="1"/>
        <lblAlgn val="ctr"/>
        <lblOffset val="100"/>
        <noMultiLvlLbl val="1"/>
      </catAx>
      <valAx>
        <axId val="50120002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5012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Natural Ectoparasite: Efficacy vs Value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'Figure 14'!$B$3</f>
              <strCache>
                <ptCount val="1"/>
                <pt idx="0">
                  <v>Total (USDm)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14'!$A$4:$A$6</f>
              <strCache>
                <ptCount val="3"/>
                <pt idx="0">
                  <v>Mobility</v>
                </pt>
                <pt idx="1">
                  <v>Cognition</v>
                </pt>
                <pt idx="2">
                  <v>Behavior</v>
                </pt>
              </strCache>
            </strRef>
          </cat>
          <val>
            <numRef>
              <f>'Figure 14'!$B$4:$B$6</f>
              <numCache>
                <formatCode>General</formatCode>
                <ptCount val="3"/>
                <pt idx="0">
                  <v>776</v>
                </pt>
                <pt idx="1">
                  <v>312</v>
                </pt>
                <pt idx="2">
                  <v>239</v>
                </pt>
              </numCache>
            </numRef>
          </val>
        </ser>
        <ser>
          <idx val="1"/>
          <order val="1"/>
          <tx>
            <strRef>
              <f>'Figure 14'!$C$3</f>
              <strCache>
                <ptCount val="1"/>
                <pt idx="0">
                  <v>Companion/Pet-led (USDm)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14'!$A$4:$A$6</f>
              <strCache>
                <ptCount val="3"/>
                <pt idx="0">
                  <v>Mobility</v>
                </pt>
                <pt idx="1">
                  <v>Cognition</v>
                </pt>
                <pt idx="2">
                  <v>Behavior</v>
                </pt>
              </strCache>
            </strRef>
          </cat>
          <val>
            <numRef>
              <f>'Figure 14'!$C$4:$C$6</f>
              <numCache>
                <formatCode>General</formatCode>
                <ptCount val="3"/>
                <pt idx="0">
                  <v>714</v>
                </pt>
                <pt idx="1">
                  <v>296</v>
                </pt>
                <pt idx="2">
                  <v>229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130001"/>
        <axId val="50130002"/>
      </barChart>
      <catAx>
        <axId val="50130001"/>
        <scaling>
          <orientation val="minMax"/>
        </scaling>
        <delete val="1"/>
        <axPos val="l"/>
        <numFmt formatCode="General" sourceLinked="0"/>
        <majorTickMark val="none"/>
        <minorTickMark val="none"/>
        <tickLblPos val="nextTo"/>
        <crossAx val="50130002"/>
        <crosses val="autoZero"/>
        <auto val="1"/>
        <lblAlgn val="ctr"/>
        <lblOffset val="100"/>
        <noMultiLvlLbl val="1"/>
      </catAx>
      <valAx>
        <axId val="50130002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5013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Nutrigenomics: Efficacy vs Value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'Figure 15'!$B$3</f>
              <strCache>
                <ptCount val="1"/>
                <pt idx="0">
                  <v>Evidence Level (1-10)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15'!$A$4:$A$7</f>
              <strCache>
                <ptCount val="4"/>
                <pt idx="0">
                  <v>Biomarker Analysis</v>
                </pt>
                <pt idx="1">
                  <v>Nrf2 Activators</v>
                </pt>
                <pt idx="2">
                  <v>Genotypic Profiling</v>
                </pt>
                <pt idx="3">
                  <v>Vaccine Adjuvants</v>
                </pt>
              </strCache>
            </strRef>
          </cat>
          <val>
            <numRef>
              <f>'Figure 15'!$B$4:$B$7</f>
              <numCache>
                <formatCode>General</formatCode>
                <ptCount val="4"/>
                <pt idx="0">
                  <v>7</v>
                </pt>
                <pt idx="1">
                  <v>6</v>
                </pt>
                <pt idx="2">
                  <v>8</v>
                </pt>
                <pt idx="3">
                  <v>6</v>
                </pt>
              </numCache>
            </numRef>
          </val>
        </ser>
        <ser>
          <idx val="1"/>
          <order val="1"/>
          <tx>
            <strRef>
              <f>'Figure 15'!$C$3</f>
              <strCache>
                <ptCount val="1"/>
                <pt idx="0">
                  <v>Est. Value (m)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15'!$A$4:$A$7</f>
              <strCache>
                <ptCount val="4"/>
                <pt idx="0">
                  <v>Biomarker Analysis</v>
                </pt>
                <pt idx="1">
                  <v>Nrf2 Activators</v>
                </pt>
                <pt idx="2">
                  <v>Genotypic Profiling</v>
                </pt>
                <pt idx="3">
                  <v>Vaccine Adjuvants</v>
                </pt>
              </strCache>
            </strRef>
          </cat>
          <val>
            <numRef>
              <f>'Figure 15'!$C$4:$C$7</f>
              <numCache>
                <formatCode>General</formatCode>
                <ptCount val="4"/>
                <pt idx="0">
                  <v>148</v>
                </pt>
                <pt idx="1">
                  <v>48</v>
                </pt>
                <pt idx="2">
                  <v>526</v>
                </pt>
                <pt idx="3">
                  <v>73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140001"/>
        <axId val="50140002"/>
      </barChart>
      <catAx>
        <axId val="50140001"/>
        <scaling>
          <orientation val="minMax"/>
        </scaling>
        <delete val="1"/>
        <axPos val="l"/>
        <numFmt formatCode="General" sourceLinked="0"/>
        <majorTickMark val="none"/>
        <minorTickMark val="none"/>
        <tickLblPos val="nextTo"/>
        <crossAx val="50140002"/>
        <crosses val="autoZero"/>
        <auto val="1"/>
        <lblAlgn val="ctr"/>
        <lblOffset val="100"/>
        <noMultiLvlLbl val="1"/>
      </catAx>
      <valAx>
        <axId val="50140002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5014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Delivery Systems: Maturity vs Value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'Figure 16'!$B$3</f>
              <strCache>
                <ptCount val="1"/>
                <pt idx="0">
                  <v>Tech Maturity (1-10)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16'!$A$4:$A$8</f>
              <strCache>
                <ptCount val="5"/>
                <pt idx="0">
                  <v>Rumen Protection</v>
                </pt>
                <pt idx="1">
                  <v>Smart Boluses</v>
                </pt>
                <pt idx="2">
                  <v>Soft Chews</v>
                </pt>
                <pt idx="3">
                  <v>Aquafeed Coatings</v>
                </pt>
                <pt idx="4">
                  <v>Biofilm Probiotics</v>
                </pt>
              </strCache>
            </strRef>
          </cat>
          <val>
            <numRef>
              <f>'Figure 16'!$B$4:$B$8</f>
              <numCache>
                <formatCode>General</formatCode>
                <ptCount val="5"/>
                <pt idx="0">
                  <v>8</v>
                </pt>
                <pt idx="1">
                  <v>7</v>
                </pt>
                <pt idx="2">
                  <v>9</v>
                </pt>
                <pt idx="3">
                  <v>8</v>
                </pt>
                <pt idx="4">
                  <v>6</v>
                </pt>
              </numCache>
            </numRef>
          </val>
        </ser>
        <ser>
          <idx val="1"/>
          <order val="1"/>
          <tx>
            <strRef>
              <f>'Figure 16'!$C$3</f>
              <strCache>
                <ptCount val="1"/>
                <pt idx="0">
                  <v>Est. Value (m)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16'!$A$4:$A$8</f>
              <strCache>
                <ptCount val="5"/>
                <pt idx="0">
                  <v>Rumen Protection</v>
                </pt>
                <pt idx="1">
                  <v>Smart Boluses</v>
                </pt>
                <pt idx="2">
                  <v>Soft Chews</v>
                </pt>
                <pt idx="3">
                  <v>Aquafeed Coatings</v>
                </pt>
                <pt idx="4">
                  <v>Biofilm Probiotics</v>
                </pt>
              </strCache>
            </strRef>
          </cat>
          <val>
            <numRef>
              <f>'Figure 16'!$C$4:$C$8</f>
              <numCache>
                <formatCode>General</formatCode>
                <ptCount val="5"/>
                <pt idx="0">
                  <v>920</v>
                </pt>
                <pt idx="1">
                  <v>625</v>
                </pt>
                <pt idx="2">
                  <v>593</v>
                </pt>
                <pt idx="3">
                  <v>271</v>
                </pt>
                <pt idx="4">
                  <v>40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150001"/>
        <axId val="50150002"/>
      </barChart>
      <catAx>
        <axId val="50150001"/>
        <scaling>
          <orientation val="minMax"/>
        </scaling>
        <delete val="1"/>
        <axPos val="l"/>
        <numFmt formatCode="General" sourceLinked="0"/>
        <majorTickMark val="none"/>
        <minorTickMark val="none"/>
        <tickLblPos val="nextTo"/>
        <crossAx val="50150002"/>
        <crosses val="autoZero"/>
        <auto val="1"/>
        <lblAlgn val="ctr"/>
        <lblOffset val="100"/>
        <noMultiLvlLbl val="1"/>
      </catAx>
      <valAx>
        <axId val="50150002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5015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Sustainability: Efficacy vs Value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'Figure 17'!$B$3</f>
              <strCache>
                <ptCount val="1"/>
                <pt idx="0">
                  <v>Evidence Level (1-10)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17'!$A$4:$A$7</f>
              <strCache>
                <ptCount val="4"/>
                <pt idx="0">
                  <v>Methane (Asparagopsis)</v>
                </pt>
                <pt idx="1">
                  <v>Methane (3-NOP)</v>
                </pt>
                <pt idx="2">
                  <v>P-Management (Phytase)</v>
                </pt>
                <pt idx="3">
                  <v>N-Efficiency (Protease)</v>
                </pt>
              </strCache>
            </strRef>
          </cat>
          <val>
            <numRef>
              <f>'Figure 17'!$B$4:$B$7</f>
              <numCache>
                <formatCode>General</formatCode>
                <ptCount val="4"/>
                <pt idx="0">
                  <v>7</v>
                </pt>
                <pt idx="1">
                  <v>9</v>
                </pt>
                <pt idx="2">
                  <v>10</v>
                </pt>
                <pt idx="3">
                  <v>8</v>
                </pt>
              </numCache>
            </numRef>
          </val>
        </ser>
        <ser>
          <idx val="1"/>
          <order val="1"/>
          <tx>
            <strRef>
              <f>'Figure 17'!$C$3</f>
              <strCache>
                <ptCount val="1"/>
                <pt idx="0">
                  <v>Est. Value (m)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17'!$A$4:$A$7</f>
              <strCache>
                <ptCount val="4"/>
                <pt idx="0">
                  <v>Methane (Asparagopsis)</v>
                </pt>
                <pt idx="1">
                  <v>Methane (3-NOP)</v>
                </pt>
                <pt idx="2">
                  <v>P-Management (Phytase)</v>
                </pt>
                <pt idx="3">
                  <v>N-Efficiency (Protease)</v>
                </pt>
              </strCache>
            </strRef>
          </cat>
          <val>
            <numRef>
              <f>'Figure 17'!$C$4:$C$7</f>
              <numCache>
                <formatCode>General</formatCode>
                <ptCount val="4"/>
                <pt idx="0">
                  <v>6</v>
                </pt>
                <pt idx="1">
                  <v>15</v>
                </pt>
                <pt idx="2">
                  <v>155</v>
                </pt>
                <pt idx="3">
                  <v>545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160001"/>
        <axId val="50160002"/>
      </barChart>
      <catAx>
        <axId val="50160001"/>
        <scaling>
          <orientation val="minMax"/>
        </scaling>
        <delete val="1"/>
        <axPos val="l"/>
        <numFmt formatCode="General" sourceLinked="0"/>
        <majorTickMark val="none"/>
        <minorTickMark val="none"/>
        <tickLblPos val="nextTo"/>
        <crossAx val="50160002"/>
        <crosses val="autoZero"/>
        <auto val="1"/>
        <lblAlgn val="ctr"/>
        <lblOffset val="100"/>
        <noMultiLvlLbl val="1"/>
      </catAx>
      <valAx>
        <axId val="50160002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5016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Total Revenue Potential by Functional Segment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'Figure 18'!$B$3</f>
              <strCache>
                <ptCount val="1"/>
                <pt idx="0">
                  <v>Ownership Rate (%)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18'!$A$4:$A$14</f>
              <strCache>
                <ptCount val="5"/>
                <pt idx="0">
                  <v>US</v>
                </pt>
                <pt idx="1">
                  <v>Canada</v>
                </pt>
                <pt idx="2">
                  <v>EU</v>
                </pt>
                <pt idx="4">
                  <v>Source: APPA (2024), FEDIAF (2024).</v>
                </pt>
              </strCache>
            </strRef>
          </cat>
          <val>
            <numRef>
              <f>'Figure 18'!$B$4:$B$14</f>
              <numCache>
                <formatCode>General</formatCode>
                <ptCount val="11"/>
                <pt idx="0">
                  <v>71</v>
                </pt>
                <pt idx="1">
                  <v>60</v>
                </pt>
                <pt idx="2">
                  <v>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170001"/>
        <axId val="50170002"/>
      </barChart>
      <catAx>
        <axId val="50170001"/>
        <scaling>
          <orientation val="minMax"/>
        </scaling>
        <delete val="1"/>
        <axPos val="l"/>
        <numFmt formatCode="General" sourceLinked="0"/>
        <majorTickMark val="none"/>
        <minorTickMark val="none"/>
        <tickLblPos val="nextTo"/>
        <crossAx val="50170002"/>
        <crosses val="autoZero"/>
        <auto val="1"/>
        <lblAlgn val="ctr"/>
        <lblOffset val="100"/>
        <noMultiLvlLbl val="1"/>
      </catAx>
      <valAx>
        <axId val="50170002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5017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Top 7 Power Ingredients/Technologies by Value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'Figure 19'!$B$3</f>
              <strCache>
                <ptCount val="1"/>
                <pt idx="0">
                  <v>Population (m)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19'!$A$4:$A$10</f>
              <strCache>
                <ptCount val="5"/>
                <pt idx="0">
                  <v>Cats</v>
                </pt>
                <pt idx="1">
                  <v>Dogs</v>
                </pt>
                <pt idx="2">
                  <v>Others</v>
                </pt>
                <pt idx="4">
                  <v>Source: FEDIAF Facts &amp; Figures 2024.</v>
                </pt>
              </strCache>
            </strRef>
          </cat>
          <val>
            <numRef>
              <f>'Figure 19'!$B$4:$B$10</f>
              <numCache>
                <formatCode>General</formatCode>
                <ptCount val="7"/>
                <pt idx="0">
                  <v>127</v>
                </pt>
                <pt idx="1">
                  <v>104</v>
                </pt>
                <pt idx="2">
                  <v>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180001"/>
        <axId val="50180002"/>
      </barChart>
      <catAx>
        <axId val="50180001"/>
        <scaling>
          <orientation val="minMax"/>
        </scaling>
        <delete val="1"/>
        <axPos val="l"/>
        <numFmt formatCode="General" sourceLinked="0"/>
        <majorTickMark val="none"/>
        <minorTickMark val="none"/>
        <tickLblPos val="nextTo"/>
        <crossAx val="50180002"/>
        <crosses val="autoZero"/>
        <auto val="1"/>
        <lblAlgn val="ctr"/>
        <lblOffset val="100"/>
        <noMultiLvlLbl val="1"/>
      </catAx>
      <valAx>
        <axId val="50180002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5018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Household Pet Ownership Rate by Region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'Figure 20'!$B$3</f>
              <strCache>
                <ptCount val="1"/>
                <pt idx="0">
                  <v>Ownership Rate (%)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20'!$A$4:$A$6</f>
              <strCache>
                <ptCount val="3"/>
                <pt idx="0">
                  <v>US</v>
                </pt>
                <pt idx="1">
                  <v>Canada</v>
                </pt>
                <pt idx="2">
                  <v>EU</v>
                </pt>
              </strCache>
            </strRef>
          </cat>
          <val>
            <numRef>
              <f>'Figure 20'!$B$4:$B$6</f>
              <numCache>
                <formatCode>General</formatCode>
                <ptCount val="3"/>
                <pt idx="0">
                  <v>71</v>
                </pt>
                <pt idx="1">
                  <v>60</v>
                </pt>
                <pt idx="2">
                  <v>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190001"/>
        <axId val="50190002"/>
      </barChart>
      <catAx>
        <axId val="50190001"/>
        <scaling>
          <orientation val="minMax"/>
        </scaling>
        <delete val="1"/>
        <axPos val="b"/>
        <numFmt formatCode="General" sourceLinked="0"/>
        <majorTickMark val="none"/>
        <minorTickMark val="none"/>
        <tickLblPos val="nextTo"/>
        <crossAx val="50190002"/>
        <crosses val="autoZero"/>
        <auto val="1"/>
        <lblAlgn val="ctr"/>
        <lblOffset val="100"/>
        <noMultiLvlLbl val="1"/>
      </catAx>
      <valAx>
        <axId val="50190002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5019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EU Pet Population Structure</a:t>
            </a:r>
          </a:p>
        </rich>
      </tx>
      <overlay val="1"/>
    </title>
    <plotArea>
      <layout/>
      <pieChart>
        <varyColors val="1"/>
        <ser>
          <idx val="0"/>
          <order val="0"/>
          <tx>
            <strRef>
              <f>'Figure 21'!$B$3</f>
              <strCache>
                <ptCount val="1"/>
                <pt idx="0">
                  <v>Population (m)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'Figure 21'!$A$4:$A$6</f>
              <strCache>
                <ptCount val="3"/>
                <pt idx="0">
                  <v>Cats</v>
                </pt>
                <pt idx="1">
                  <v>Dogs</v>
                </pt>
                <pt idx="2">
                  <v>Others</v>
                </pt>
              </strCache>
            </strRef>
          </cat>
          <val>
            <numRef>
              <f>'Figure 21'!$B$4:$B$6</f>
              <numCache>
                <formatCode>General</formatCode>
                <ptCount val="3"/>
                <pt idx="0">
                  <v>127</v>
                </pt>
                <pt idx="1">
                  <v>104</v>
                </pt>
                <pt idx="2">
                  <v>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/>
          </a:r>
          <a:endParaRPr lang="en-US"/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EU Pet Population Growth (2018-2023)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'Figure 22'!$B$3</f>
              <strCache>
                <ptCount val="1"/>
                <pt idx="0">
                  <v>Growth 2018-2023 (%)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22'!$A$4:$A$5</f>
              <strCache>
                <ptCount val="2"/>
                <pt idx="0">
                  <v>Cats</v>
                </pt>
                <pt idx="1">
                  <v>Dogs</v>
                </pt>
              </strCache>
            </strRef>
          </cat>
          <val>
            <numRef>
              <f>'Figure 22'!$B$4:$B$5</f>
              <numCache>
                <formatCode>General</formatCode>
                <ptCount val="2"/>
                <pt idx="0">
                  <v>11</v>
                </pt>
                <pt idx="1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210001"/>
        <axId val="50210002"/>
      </barChart>
      <catAx>
        <axId val="50210001"/>
        <scaling>
          <orientation val="minMax"/>
        </scaling>
        <delete val="1"/>
        <axPos val="b"/>
        <numFmt formatCode="General" sourceLinked="0"/>
        <majorTickMark val="none"/>
        <minorTickMark val="none"/>
        <tickLblPos val="nextTo"/>
        <crossAx val="50210002"/>
        <crosses val="autoZero"/>
        <auto val="1"/>
        <lblAlgn val="ctr"/>
        <lblOffset val="100"/>
        <noMultiLvlLbl val="1"/>
      </catAx>
      <valAx>
        <axId val="50210002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5021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Regional Market Size: Pet Nutraceuticals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'Figure 23'!$B$3</f>
              <strCache>
                <ptCount val="1"/>
                <pt idx="0">
                  <v>Market Size (bn)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23'!$A$4:$A$8</f>
              <strCache>
                <ptCount val="5"/>
                <pt idx="0">
                  <v>APAC</v>
                </pt>
                <pt idx="1">
                  <v>Europe</v>
                </pt>
                <pt idx="2">
                  <v>North America</v>
                </pt>
                <pt idx="3">
                  <v>LATAM</v>
                </pt>
                <pt idx="4">
                  <v>Rest of World</v>
                </pt>
              </strCache>
            </strRef>
          </cat>
          <val>
            <numRef>
              <f>'Figure 23'!$B$4:$B$8</f>
              <numCache>
                <formatCode>General</formatCode>
                <ptCount val="5"/>
                <pt idx="0">
                  <v>2.1</v>
                </pt>
                <pt idx="1">
                  <v>1.7</v>
                </pt>
                <pt idx="2">
                  <v>1.1</v>
                </pt>
                <pt idx="3">
                  <v>0.8</v>
                </pt>
                <pt idx="4">
                  <v>0.3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220001"/>
        <axId val="50220002"/>
      </barChart>
      <catAx>
        <axId val="50220001"/>
        <scaling>
          <orientation val="minMax"/>
        </scaling>
        <delete val="1"/>
        <axPos val="l"/>
        <numFmt formatCode="General" sourceLinked="0"/>
        <majorTickMark val="none"/>
        <minorTickMark val="none"/>
        <tickLblPos val="nextTo"/>
        <crossAx val="50220002"/>
        <crosses val="autoZero"/>
        <auto val="1"/>
        <lblAlgn val="ctr"/>
        <lblOffset val="100"/>
        <noMultiLvlLbl val="1"/>
      </catAx>
      <valAx>
        <axId val="50220002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5022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Probiotics Market: Volume Share vs Revenue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'Figure 24'!$B$3</f>
              <strCache>
                <ptCount val="1"/>
                <pt idx="0">
                  <v>Volume Share (%)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24'!$A$4:$A$7</f>
              <strCache>
                <ptCount val="4"/>
                <pt idx="0">
                  <v>Poultry</v>
                </pt>
                <pt idx="1">
                  <v>Swine</v>
                </pt>
                <pt idx="2">
                  <v>Ruminant</v>
                </pt>
                <pt idx="3">
                  <v>Aqua</v>
                </pt>
              </strCache>
            </strRef>
          </cat>
          <val>
            <numRef>
              <f>'Figure 24'!$B$4:$B$7</f>
              <numCache>
                <formatCode>General</formatCode>
                <ptCount val="4"/>
                <pt idx="0">
                  <v>60</v>
                </pt>
                <pt idx="1">
                  <v>25</v>
                </pt>
                <pt idx="2">
                  <v>10</v>
                </pt>
                <pt idx="3">
                  <v>5</v>
                </pt>
              </numCache>
            </numRef>
          </val>
        </ser>
        <ser>
          <idx val="1"/>
          <order val="1"/>
          <tx>
            <strRef>
              <f>'Figure 24'!$C$3</f>
              <strCache>
                <ptCount val="1"/>
                <pt idx="0">
                  <v>Revenue (bn)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24'!$A$4:$A$7</f>
              <strCache>
                <ptCount val="4"/>
                <pt idx="0">
                  <v>Poultry</v>
                </pt>
                <pt idx="1">
                  <v>Swine</v>
                </pt>
                <pt idx="2">
                  <v>Ruminant</v>
                </pt>
                <pt idx="3">
                  <v>Aqua</v>
                </pt>
              </strCache>
            </strRef>
          </cat>
          <val>
            <numRef>
              <f>'Figure 24'!$C$4:$C$7</f>
              <numCache>
                <formatCode>General</formatCode>
                <ptCount val="4"/>
                <pt idx="0">
                  <v>2.5</v>
                </pt>
                <pt idx="1">
                  <v>1</v>
                </pt>
                <pt idx="2">
                  <v>0.4</v>
                </pt>
                <pt idx="3">
                  <v>0.2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230001"/>
        <axId val="50230002"/>
      </barChart>
      <catAx>
        <axId val="50230001"/>
        <scaling>
          <orientation val="minMax"/>
        </scaling>
        <delete val="1"/>
        <axPos val="b"/>
        <numFmt formatCode="General" sourceLinked="0"/>
        <majorTickMark val="none"/>
        <minorTickMark val="none"/>
        <tickLblPos val="nextTo"/>
        <crossAx val="50230002"/>
        <crosses val="autoZero"/>
        <auto val="1"/>
        <lblAlgn val="ctr"/>
        <lblOffset val="100"/>
        <noMultiLvlLbl val="1"/>
      </catAx>
      <valAx>
        <axId val="50230002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5023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Impact of HPAI: Cumulative Bird Losses</a:t>
            </a:r>
          </a:p>
        </rich>
      </tx>
      <overlay val="1"/>
    </title>
    <plotArea>
      <layout/>
      <areaChart>
        <grouping val="standard"/>
        <varyColors val="1"/>
        <ser>
          <idx val="0"/>
          <order val="0"/>
          <tx>
            <strRef>
              <f>'Figure 25'!$B$3</f>
              <strCache>
                <ptCount val="1"/>
                <pt idx="0">
                  <v>Bird Losses (m)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numRef>
              <f>'Figure 25'!$A$4:$A$13</f>
              <numCache>
                <formatCode>General</formatCode>
                <ptCount val="10"/>
                <pt idx="0">
                  <v>2015</v>
                </pt>
                <pt idx="1">
                  <v>2016</v>
                </pt>
                <pt idx="2">
                  <v>2017</v>
                </pt>
                <pt idx="3">
                  <v>2018</v>
                </pt>
                <pt idx="4">
                  <v>2019</v>
                </pt>
                <pt idx="5">
                  <v>2020</v>
                </pt>
                <pt idx="6">
                  <v>2021</v>
                </pt>
                <pt idx="7">
                  <v>2022</v>
                </pt>
                <pt idx="8">
                  <v>2023</v>
                </pt>
                <pt idx="9">
                  <v>2024</v>
                </pt>
              </numCache>
            </numRef>
          </cat>
          <val>
            <numRef>
              <f>'Figure 25'!$B$4:$B$13</f>
              <numCache>
                <formatCode>General</formatCode>
                <ptCount val="10"/>
                <pt idx="0">
                  <v>5</v>
                </pt>
                <pt idx="1">
                  <v>8</v>
                </pt>
                <pt idx="2">
                  <v>10</v>
                </pt>
                <pt idx="3">
                  <v>12</v>
                </pt>
                <pt idx="4">
                  <v>15</v>
                </pt>
                <pt idx="5">
                  <v>25</v>
                </pt>
                <pt idx="6">
                  <v>35</v>
                </pt>
                <pt idx="7">
                  <v>40</v>
                </pt>
                <pt idx="8">
                  <v>45</v>
                </pt>
                <pt idx="9">
                  <v>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1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EU Swine Herd Structural Decline (Index 2014=100)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'Figure 26'!$B$3</f>
              <strCache>
                <ptCount val="1"/>
                <pt idx="0">
                  <v>EU Swine Herd Index</v>
                </pt>
              </strCache>
            </strRef>
          </tx>
          <spPr>
            <a:ln xmlns:a="http://schemas.openxmlformats.org/drawingml/2006/main" w="2857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'Figure 26'!$A$4:$A$14</f>
              <numCache>
                <formatCode>General</formatCode>
                <ptCount val="11"/>
                <pt idx="0">
                  <v>2014</v>
                </pt>
                <pt idx="1">
                  <v>2015</v>
                </pt>
                <pt idx="2">
                  <v>2016</v>
                </pt>
                <pt idx="3">
                  <v>2017</v>
                </pt>
                <pt idx="4">
                  <v>2018</v>
                </pt>
                <pt idx="5">
                  <v>2019</v>
                </pt>
                <pt idx="6">
                  <v>2020</v>
                </pt>
                <pt idx="7">
                  <v>2021</v>
                </pt>
                <pt idx="8">
                  <v>2022</v>
                </pt>
                <pt idx="9">
                  <v>2023</v>
                </pt>
                <pt idx="10">
                  <v>2024</v>
                </pt>
              </numCache>
            </numRef>
          </cat>
          <val>
            <numRef>
              <f>'Figure 26'!$B$4:$B$14</f>
              <numCache>
                <formatCode>General</formatCode>
                <ptCount val="11"/>
                <pt idx="0">
                  <v>100</v>
                </pt>
                <pt idx="1">
                  <v>99.19</v>
                </pt>
                <pt idx="2">
                  <v>98.38</v>
                </pt>
                <pt idx="3">
                  <v>97.56999999999999</v>
                </pt>
                <pt idx="4">
                  <v>96.76000000000001</v>
                </pt>
                <pt idx="5">
                  <v>95.95</v>
                </pt>
                <pt idx="6">
                  <v>95.14</v>
                </pt>
                <pt idx="7">
                  <v>94.33</v>
                </pt>
                <pt idx="8">
                  <v>93.52</v>
                </pt>
                <pt idx="9">
                  <v>92.70999999999999</v>
                </pt>
                <pt idx="10">
                  <v>91.90000000000001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0250001"/>
        <axId val="50250002"/>
      </lineChart>
      <catAx>
        <axId val="50250001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50250002"/>
        <crosses val="autoZero"/>
        <auto val="1"/>
        <lblAlgn val="ctr"/>
        <lblOffset val="100"/>
        <noMultiLvlLbl val="1"/>
      </catAx>
      <valAx>
        <axId val="50250002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5025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US Cattle Inventory: The 70-Year Low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'Figure 27'!$B$3</f>
              <strCache>
                <ptCount val="1"/>
                <pt idx="0">
                  <v>Production Volume (Million Tonnes)</v>
                </pt>
              </strCache>
            </strRef>
          </tx>
          <spPr>
            <a:ln xmlns:a="http://schemas.openxmlformats.org/drawingml/2006/main" w="2857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'Figure 27'!$A$4:$A$18</f>
              <strCache>
                <ptCount val="7"/>
                <pt idx="0">
                  <v>Carp (Freshwater)</v>
                </pt>
                <pt idx="1">
                  <v>Shrimp &amp; Prawns</v>
                </pt>
                <pt idx="2">
                  <v>Tilapia</v>
                </pt>
                <pt idx="3">
                  <v>Catfish</v>
                </pt>
                <pt idx="4">
                  <v>Salmon (Marine)</v>
                </pt>
                <pt idx="6">
                  <v>Source: FAO SOFIA 2024 [S111].</v>
                </pt>
              </strCache>
            </strRef>
          </cat>
          <val>
            <numRef>
              <f>'Figure 27'!$B$4:$B$18</f>
              <numCache>
                <formatCode>General</formatCode>
                <ptCount val="15"/>
                <pt idx="0">
                  <v>24</v>
                </pt>
                <pt idx="1">
                  <v>9.199999999999999</v>
                </pt>
                <pt idx="2">
                  <v>5.8</v>
                </pt>
                <pt idx="3">
                  <v>4.2</v>
                </pt>
                <pt idx="4">
                  <v>3.5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0260001"/>
        <axId val="50260002"/>
      </lineChart>
      <catAx>
        <axId val="50260001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50260002"/>
        <crosses val="autoZero"/>
        <auto val="1"/>
        <lblAlgn val="ctr"/>
        <lblOffset val="100"/>
        <noMultiLvlLbl val="1"/>
      </catAx>
      <valAx>
        <axId val="50260002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5026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Divergent Production Trends: Poultry vs Bovine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'Figure 28'!$B$3</f>
              <strCache>
                <ptCount val="1"/>
                <pt idx="0">
                  <v>Impact Score (%)</v>
                </pt>
              </strCache>
            </strRef>
          </tx>
          <spPr>
            <a:ln xmlns:a="http://schemas.openxmlformats.org/drawingml/2006/main" w="2857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'Figure 28'!$A$4:$A$9</f>
              <strCache>
                <ptCount val="5"/>
                <pt idx="0">
                  <v>Fear of Loss / Regret</v>
                </pt>
                <pt idx="1">
                  <v>Love / Bonding</v>
                </pt>
                <pt idx="2">
                  <v>Duty / Responsibility</v>
                </pt>
                <pt idx="4">
                  <v>Source: Nicotra et al. (2025).</v>
                </pt>
              </strCache>
            </strRef>
          </cat>
          <val>
            <numRef>
              <f>'Figure 28'!$B$4:$B$9</f>
              <numCache>
                <formatCode>General</formatCode>
                <ptCount val="6"/>
                <pt idx="0">
                  <v>50</v>
                </pt>
                <pt idx="1">
                  <v>30</v>
                </pt>
                <pt idx="2">
                  <v>20</v>
                </pt>
              </numCache>
            </numRef>
          </val>
          <smooth val="1"/>
        </ser>
        <ser>
          <idx val="1"/>
          <order val="1"/>
          <tx>
            <strRef>
              <f>'Figure 28'!$C$3</f>
              <strCache>
                <ptCount val="1"/>
              </strCache>
            </strRef>
          </tx>
          <spPr>
            <a:ln xmlns:a="http://schemas.openxmlformats.org/drawingml/2006/main" w="2857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'Figure 28'!$A$4:$A$9</f>
              <strCache>
                <ptCount val="5"/>
                <pt idx="0">
                  <v>Fear of Loss / Regret</v>
                </pt>
                <pt idx="1">
                  <v>Love / Bonding</v>
                </pt>
                <pt idx="2">
                  <v>Duty / Responsibility</v>
                </pt>
                <pt idx="4">
                  <v>Source: Nicotra et al. (2025).</v>
                </pt>
              </strCache>
            </strRef>
          </cat>
          <val>
            <numRef>
              <f>'Figure 28'!$C$4:$C$9</f>
              <numCache>
                <formatCode>General</formatCode>
                <ptCount val="6"/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0270001"/>
        <axId val="50270002"/>
      </lineChart>
      <catAx>
        <axId val="50270001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50270002"/>
        <crosses val="autoZero"/>
        <auto val="1"/>
        <lblAlgn val="ctr"/>
        <lblOffset val="100"/>
        <noMultiLvlLbl val="1"/>
      </catAx>
      <valAx>
        <axId val="50270002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5027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The Blue Transformation: Aquaculture vs Capture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'Figure 29'!$B$3</f>
              <strCache>
                <ptCount val="1"/>
                <pt idx="0">
                  <v>Dogs (%)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29'!$A$4:$A$5</f>
              <strCache>
                <ptCount val="2"/>
                <pt idx="0">
                  <v>Chews/Treats</v>
                </pt>
                <pt idx="1">
                  <v>Liquids/Pastes</v>
                </pt>
              </strCache>
            </strRef>
          </cat>
          <val>
            <numRef>
              <f>'Figure 29'!$B$4:$B$5</f>
              <numCache>
                <formatCode>General</formatCode>
                <ptCount val="2"/>
                <pt idx="0">
                  <v>64</v>
                </pt>
                <pt idx="1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280001"/>
        <axId val="50280002"/>
      </barChart>
      <catAx>
        <axId val="50280001"/>
        <scaling>
          <orientation val="minMax"/>
        </scaling>
        <delete val="1"/>
        <axPos val="b"/>
        <numFmt formatCode="General" sourceLinked="0"/>
        <majorTickMark val="none"/>
        <minorTickMark val="none"/>
        <tickLblPos val="nextTo"/>
        <crossAx val="50280002"/>
        <crosses val="autoZero"/>
        <auto val="1"/>
        <lblAlgn val="ctr"/>
        <lblOffset val="100"/>
        <noMultiLvlLbl val="1"/>
      </catAx>
      <valAx>
        <axId val="50280002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5028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Preferred Delivery Formats by Species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'Figure 30'!$B$3</f>
              <strCache>
                <ptCount val="1"/>
                <pt idx="0">
                  <v>Households (%)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30'!$A$4:$A$6</f>
              <strCache>
                <ptCount val="3"/>
                <pt idx="0">
                  <v>Prem (Spare No Expense)</v>
                </pt>
                <pt idx="1">
                  <v>Value (Pragmatic)</v>
                </pt>
                <pt idx="2">
                  <v>Basic (Price Sensitive)</v>
                </pt>
              </strCache>
            </strRef>
          </cat>
          <val>
            <numRef>
              <f>'Figure 30'!$B$4:$B$6</f>
              <numCache>
                <formatCode>General</formatCode>
                <ptCount val="3"/>
                <pt idx="0">
                  <v>20</v>
                </pt>
                <pt idx="1">
                  <v>50</v>
                </pt>
                <pt idx="2">
                  <v>30</v>
                </pt>
              </numCache>
            </numRef>
          </val>
        </ser>
        <ser>
          <idx val="1"/>
          <order val="1"/>
          <tx>
            <strRef>
              <f>'Figure 30'!$C$3</f>
              <strCache>
                <ptCount val="1"/>
                <pt idx="0">
                  <v>Revenue (%)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30'!$A$4:$A$6</f>
              <strCache>
                <ptCount val="3"/>
                <pt idx="0">
                  <v>Prem (Spare No Expense)</v>
                </pt>
                <pt idx="1">
                  <v>Value (Pragmatic)</v>
                </pt>
                <pt idx="2">
                  <v>Basic (Price Sensitive)</v>
                </pt>
              </strCache>
            </strRef>
          </cat>
          <val>
            <numRef>
              <f>'Figure 30'!$C$4:$C$6</f>
              <numCache>
                <formatCode>General</formatCode>
                <ptCount val="3"/>
                <pt idx="0">
                  <v>48</v>
                </pt>
                <pt idx="1">
                  <v>42</v>
                </pt>
                <pt idx="2">
                  <v>10</v>
                </pt>
              </numCache>
            </numRef>
          </val>
        </ser>
        <ser>
          <idx val="2"/>
          <order val="2"/>
          <tx>
            <strRef>
              <f>'Figure 30'!$D$3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30'!$A$4:$A$6</f>
              <strCache>
                <ptCount val="3"/>
                <pt idx="0">
                  <v>Prem (Spare No Expense)</v>
                </pt>
                <pt idx="1">
                  <v>Value (Pragmatic)</v>
                </pt>
                <pt idx="2">
                  <v>Basic (Price Sensitive)</v>
                </pt>
              </strCache>
            </strRef>
          </cat>
          <val>
            <numRef>
              <f>'Figure 30'!$D$4:$D$6</f>
              <numCache>
                <formatCode>General</formatCode>
                <ptCount val="3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50290001"/>
        <axId val="50290002"/>
      </barChart>
      <catAx>
        <axId val="50290001"/>
        <scaling>
          <orientation val="minMax"/>
        </scaling>
        <delete val="1"/>
        <axPos val="b"/>
        <numFmt formatCode="General" sourceLinked="0"/>
        <majorTickMark val="none"/>
        <minorTickMark val="none"/>
        <tickLblPos val="nextTo"/>
        <crossAx val="50290002"/>
        <crosses val="autoZero"/>
        <auto val="1"/>
        <lblAlgn val="ctr"/>
        <lblOffset val="100"/>
        <noMultiLvlLbl val="1"/>
      </catAx>
      <valAx>
        <axId val="50290002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5029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Preventive Health Wallet Allocation</a:t>
            </a:r>
          </a:p>
        </rich>
      </tx>
      <overlay val="1"/>
    </title>
    <plotArea>
      <layout/>
      <pieChart>
        <varyColors val="1"/>
        <ser>
          <idx val="0"/>
          <order val="0"/>
          <tx>
            <strRef>
              <f>'Figure 31'!$B$3</f>
              <strCache>
                <ptCount val="1"/>
                <pt idx="0">
                  <v>Share of Wallet (%)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'Figure 31'!$A$4:$A$8</f>
              <strCache>
                <ptCount val="5"/>
                <pt idx="0">
                  <v>Food</v>
                </pt>
                <pt idx="1">
                  <v>Vet Care</v>
                </pt>
                <pt idx="2">
                  <v>Supplements</v>
                </pt>
                <pt idx="3">
                  <v>Toys/Access</v>
                </pt>
                <pt idx="4">
                  <v>Services</v>
                </pt>
              </strCache>
            </strRef>
          </cat>
          <val>
            <numRef>
              <f>'Figure 31'!$B$4:$B$8</f>
              <numCache>
                <formatCode>General</formatCode>
                <ptCount val="5"/>
                <pt idx="0">
                  <v>40</v>
                </pt>
                <pt idx="1">
                  <v>25</v>
                </pt>
                <pt idx="2">
                  <v>15</v>
                </pt>
                <pt idx="3">
                  <v>10</v>
                </pt>
                <pt idx="4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/>
          </a:r>
          <a:endParaRPr lang="en-US"/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Consumer Segmentation: The Pareto Effect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'Figure 32'!$B$3</f>
              <strCache>
                <ptCount val="1"/>
                <pt idx="0">
                  <v>Households (%)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32'!$A$4:$A$6</f>
              <strCache>
                <ptCount val="3"/>
                <pt idx="0">
                  <v>Prem (Spare No Expense)</v>
                </pt>
                <pt idx="1">
                  <v>Value (Pragmatic)</v>
                </pt>
                <pt idx="2">
                  <v>Basic (Price Sensitive)</v>
                </pt>
              </strCache>
            </strRef>
          </cat>
          <val>
            <numRef>
              <f>'Figure 32'!$B$4:$B$6</f>
              <numCache>
                <formatCode>General</formatCode>
                <ptCount val="3"/>
                <pt idx="0">
                  <v>20</v>
                </pt>
                <pt idx="1">
                  <v>50</v>
                </pt>
                <pt idx="2">
                  <v>30</v>
                </pt>
              </numCache>
            </numRef>
          </val>
        </ser>
        <ser>
          <idx val="1"/>
          <order val="1"/>
          <tx>
            <strRef>
              <f>'Figure 32'!$C$3</f>
              <strCache>
                <ptCount val="1"/>
                <pt idx="0">
                  <v>Revenue (%)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32'!$A$4:$A$6</f>
              <strCache>
                <ptCount val="3"/>
                <pt idx="0">
                  <v>Prem (Spare No Expense)</v>
                </pt>
                <pt idx="1">
                  <v>Value (Pragmatic)</v>
                </pt>
                <pt idx="2">
                  <v>Basic (Price Sensitive)</v>
                </pt>
              </strCache>
            </strRef>
          </cat>
          <val>
            <numRef>
              <f>'Figure 32'!$C$4:$C$6</f>
              <numCache>
                <formatCode>General</formatCode>
                <ptCount val="3"/>
                <pt idx="0">
                  <v>48</v>
                </pt>
                <pt idx="1">
                  <v>42</v>
                </pt>
                <pt idx="2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310001"/>
        <axId val="50310002"/>
      </barChart>
      <catAx>
        <axId val="50310001"/>
        <scaling>
          <orientation val="minMax"/>
        </scaling>
        <delete val="1"/>
        <axPos val="b"/>
        <numFmt formatCode="General" sourceLinked="0"/>
        <majorTickMark val="none"/>
        <minorTickMark val="none"/>
        <tickLblPos val="nextTo"/>
        <crossAx val="50310002"/>
        <crosses val="autoZero"/>
        <auto val="1"/>
        <lblAlgn val="ctr"/>
        <lblOffset val="100"/>
        <noMultiLvlLbl val="1"/>
      </catAx>
      <valAx>
        <axId val="50310002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5031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Psychological Drivers of Purchase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'Figure 33'!$B$3</f>
              <strCache>
                <ptCount val="1"/>
                <pt idx="0">
                  <v>Impact Score (%)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33'!$A$4:$A$6</f>
              <strCache>
                <ptCount val="3"/>
                <pt idx="0">
                  <v>Fear of Loss / Regret</v>
                </pt>
                <pt idx="1">
                  <v>Love / Bonding</v>
                </pt>
                <pt idx="2">
                  <v>Duty / Responsibility</v>
                </pt>
              </strCache>
            </strRef>
          </cat>
          <val>
            <numRef>
              <f>'Figure 33'!$B$4:$B$6</f>
              <numCache>
                <formatCode>General</formatCode>
                <ptCount val="3"/>
                <pt idx="0">
                  <v>50</v>
                </pt>
                <pt idx="1">
                  <v>30</v>
                </pt>
                <pt idx="2">
                  <v>20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320001"/>
        <axId val="50320002"/>
      </barChart>
      <catAx>
        <axId val="50320001"/>
        <scaling>
          <orientation val="minMax"/>
        </scaling>
        <delete val="1"/>
        <axPos val="l"/>
        <numFmt formatCode="General" sourceLinked="0"/>
        <majorTickMark val="none"/>
        <minorTickMark val="none"/>
        <tickLblPos val="nextTo"/>
        <crossAx val="50320002"/>
        <crosses val="autoZero"/>
        <auto val="1"/>
        <lblAlgn val="ctr"/>
        <lblOffset val="100"/>
        <noMultiLvlLbl val="1"/>
      </catAx>
      <valAx>
        <axId val="50320002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5032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Evolution of Mobility Ingredients (Share %)</a:t>
            </a:r>
          </a:p>
        </rich>
      </tx>
      <overlay val="1"/>
    </title>
    <plotArea>
      <layout/>
      <areaChart>
        <grouping val="stacked"/>
        <varyColors val="1"/>
        <ser>
          <idx val="0"/>
          <order val="0"/>
          <tx>
            <strRef>
              <f>'Figure 34'!$B$3</f>
              <strCache>
                <ptCount val="1"/>
                <pt idx="0">
                  <v>Livestock Premix ($50)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'Figure 34'!$A$4:$A$7</f>
              <strCache>
                <ptCount val="4"/>
                <pt idx="0">
                  <v>Raw Material</v>
                </pt>
                <pt idx="1">
                  <v>Manufacturing</v>
                </pt>
                <pt idx="2">
                  <v>Logistics/Mktg</v>
                </pt>
                <pt idx="3">
                  <v>Net Margin</v>
                </pt>
              </strCache>
            </strRef>
          </cat>
          <val>
            <numRef>
              <f>'Figure 34'!$B$4:$B$7</f>
              <numCache>
                <formatCode>General</formatCode>
                <ptCount val="4"/>
                <pt idx="0">
                  <v>30</v>
                </pt>
                <pt idx="1">
                  <v>10</v>
                </pt>
                <pt idx="2">
                  <v>8</v>
                </pt>
                <pt idx="3">
                  <v>2</v>
                </pt>
              </numCache>
            </numRef>
          </val>
        </ser>
        <ser>
          <idx val="1"/>
          <order val="1"/>
          <tx>
            <strRef>
              <f>'Figure 34'!$C$3</f>
              <strCache>
                <ptCount val="1"/>
                <pt idx="0">
                  <v>Pet Supplement ($50)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'Figure 34'!$A$4:$A$7</f>
              <strCache>
                <ptCount val="4"/>
                <pt idx="0">
                  <v>Raw Material</v>
                </pt>
                <pt idx="1">
                  <v>Manufacturing</v>
                </pt>
                <pt idx="2">
                  <v>Logistics/Mktg</v>
                </pt>
                <pt idx="3">
                  <v>Net Margin</v>
                </pt>
              </strCache>
            </strRef>
          </cat>
          <val>
            <numRef>
              <f>'Figure 34'!$C$4:$C$7</f>
              <numCache>
                <formatCode>General</formatCode>
                <ptCount val="4"/>
                <pt idx="0">
                  <v>10</v>
                </pt>
                <pt idx="1">
                  <v>15</v>
                </pt>
                <pt idx="2">
                  <v>15</v>
                </pt>
                <pt idx="3">
                  <v>10</v>
                </pt>
              </numCache>
            </numRef>
          </val>
        </ser>
        <ser>
          <idx val="2"/>
          <order val="2"/>
          <tx>
            <strRef>
              <f>'Figure 34'!$D$3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'Figure 34'!$A$4:$A$7</f>
              <strCache>
                <ptCount val="4"/>
                <pt idx="0">
                  <v>Raw Material</v>
                </pt>
                <pt idx="1">
                  <v>Manufacturing</v>
                </pt>
                <pt idx="2">
                  <v>Logistics/Mktg</v>
                </pt>
                <pt idx="3">
                  <v>Net Margin</v>
                </pt>
              </strCache>
            </strRef>
          </cat>
          <val>
            <numRef>
              <f>'Figure 34'!$D$4:$D$7</f>
              <numCache>
                <formatCode>General</formatCode>
                <ptCount val="4"/>
              </numCache>
            </numRef>
          </val>
        </ser>
        <ser>
          <idx val="3"/>
          <order val="3"/>
          <tx>
            <strRef>
              <f>'Figure 34'!$E$3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'Figure 34'!$A$4:$A$7</f>
              <strCache>
                <ptCount val="4"/>
                <pt idx="0">
                  <v>Raw Material</v>
                </pt>
                <pt idx="1">
                  <v>Manufacturing</v>
                </pt>
                <pt idx="2">
                  <v>Logistics/Mktg</v>
                </pt>
                <pt idx="3">
                  <v>Net Margin</v>
                </pt>
              </strCache>
            </strRef>
          </cat>
          <val>
            <numRef>
              <f>'Figure 34'!$E$4:$E$7</f>
              <numCache>
                <formatCode>General</formatCode>
                <ptCount val="4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1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Growth of the Senior Pet Wellness Market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'Figure 35'!$B$3</f>
              <strCache>
                <ptCount val="1"/>
                <pt idx="0">
                  <v>Senior Wellness Market Index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numRef>
              <f>'Figure 35'!$A$4:$A$6</f>
              <numCache>
                <formatCode>General</formatCode>
                <ptCount val="3"/>
                <pt idx="0">
                  <v>2015</v>
                </pt>
                <pt idx="1">
                  <v>2024</v>
                </pt>
                <pt idx="2">
                  <v>2030</v>
                </pt>
              </numCache>
            </numRef>
          </cat>
          <val>
            <numRef>
              <f>'Figure 35'!$B$4:$B$6</f>
              <numCache>
                <formatCode>General</formatCode>
                <ptCount val="3"/>
                <pt idx="0">
                  <v>5</v>
                </pt>
                <pt idx="1">
                  <v>12</v>
                </pt>
                <pt idx="2">
                  <v>20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340001"/>
        <axId val="50340002"/>
      </barChart>
      <catAx>
        <axId val="50340001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50340002"/>
        <crosses val="autoZero"/>
        <auto val="1"/>
        <lblAlgn val="ctr"/>
        <lblOffset val="100"/>
        <noMultiLvlLbl val="1"/>
      </catAx>
      <valAx>
        <axId val="50340002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5034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Value Chain Economics: Margin Capture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'Figure 36'!$B$3</f>
              <strCache>
                <ptCount val="1"/>
                <pt idx="0">
                  <v>Vet Channel Net Margin (%)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numRef>
              <f>'Figure 36'!$A$4:$A$6</f>
              <numCache>
                <formatCode>General</formatCode>
                <ptCount val="3"/>
                <pt idx="0">
                  <v>2010</v>
                </pt>
                <pt idx="1">
                  <v>2015</v>
                </pt>
                <pt idx="2">
                  <v>2019</v>
                </pt>
              </numCache>
            </numRef>
          </cat>
          <val>
            <numRef>
              <f>'Figure 36'!$B$4:$B$6</f>
              <numCache>
                <formatCode>General</formatCode>
                <ptCount val="3"/>
                <pt idx="0">
                  <v>25</v>
                </pt>
                <pt idx="1">
                  <v>23</v>
                </pt>
                <pt idx="2">
                  <v>20</v>
                </pt>
              </numCache>
            </numRef>
          </val>
        </ser>
        <ser>
          <idx val="1"/>
          <order val="1"/>
          <tx>
            <strRef>
              <f>'Figure 36'!$C$3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numRef>
              <f>'Figure 36'!$A$4:$A$6</f>
              <numCache>
                <formatCode>General</formatCode>
                <ptCount val="3"/>
                <pt idx="0">
                  <v>2010</v>
                </pt>
                <pt idx="1">
                  <v>2015</v>
                </pt>
                <pt idx="2">
                  <v>2019</v>
                </pt>
              </numCache>
            </numRef>
          </cat>
          <val>
            <numRef>
              <f>'Figure 36'!$C$4:$C$6</f>
              <numCache>
                <formatCode>General</formatCode>
                <ptCount val="3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350001"/>
        <axId val="50350002"/>
      </barChart>
      <catAx>
        <axId val="50350001"/>
        <scaling>
          <orientation val="minMax"/>
        </scaling>
        <delete val="1"/>
        <axPos val="l"/>
        <numFmt formatCode="General" sourceLinked="0"/>
        <majorTickMark val="none"/>
        <minorTickMark val="none"/>
        <tickLblPos val="nextTo"/>
        <crossAx val="50350002"/>
        <crosses val="autoZero"/>
        <auto val="1"/>
        <lblAlgn val="ctr"/>
        <lblOffset val="100"/>
        <noMultiLvlLbl val="1"/>
      </catAx>
      <valAx>
        <axId val="50350002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5035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Vet Channel Margin Erosion (Due to E-Comm)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'Figure 37'!$B$3</f>
              <strCache>
                <ptCount val="1"/>
                <pt idx="0">
                  <v>Vet Channel Net Margin (%)</v>
                </pt>
              </strCache>
            </strRef>
          </tx>
          <spPr>
            <a:ln xmlns:a="http://schemas.openxmlformats.org/drawingml/2006/main" w="2857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'Figure 37'!$A$4:$A$7</f>
              <numCache>
                <formatCode>General</formatCode>
                <ptCount val="4"/>
                <pt idx="0">
                  <v>2010</v>
                </pt>
                <pt idx="1">
                  <v>2015</v>
                </pt>
                <pt idx="2">
                  <v>2019</v>
                </pt>
                <pt idx="3">
                  <v>2024</v>
                </pt>
              </numCache>
            </numRef>
          </cat>
          <val>
            <numRef>
              <f>'Figure 37'!$B$4:$B$7</f>
              <numCache>
                <formatCode>General</formatCode>
                <ptCount val="4"/>
                <pt idx="0">
                  <v>25</v>
                </pt>
                <pt idx="1">
                  <v>23</v>
                </pt>
                <pt idx="2">
                  <v>20</v>
                </pt>
                <pt idx="3">
                  <v>18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0360001"/>
        <axId val="50360002"/>
      </lineChart>
      <catAx>
        <axId val="50360001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50360002"/>
        <crosses val="autoZero"/>
        <auto val="1"/>
        <lblAlgn val="ctr"/>
        <lblOffset val="100"/>
        <noMultiLvlLbl val="1"/>
      </catAx>
      <valAx>
        <axId val="50360002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5036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Value Waterfall: Livestock vs Pet Cost Structure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'Figure 38'!$B$3</f>
              <strCache>
                <ptCount val="1"/>
                <pt idx="0">
                  <v>Livestock Premix ($50)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38'!$A$4:$A$7</f>
              <strCache>
                <ptCount val="4"/>
                <pt idx="0">
                  <v>Raw Material</v>
                </pt>
                <pt idx="1">
                  <v>Manufacturing</v>
                </pt>
                <pt idx="2">
                  <v>Logistics/Mktg</v>
                </pt>
                <pt idx="3">
                  <v>Net Margin</v>
                </pt>
              </strCache>
            </strRef>
          </cat>
          <val>
            <numRef>
              <f>'Figure 38'!$B$4:$B$7</f>
              <numCache>
                <formatCode>General</formatCode>
                <ptCount val="4"/>
                <pt idx="0">
                  <v>30</v>
                </pt>
                <pt idx="1">
                  <v>10</v>
                </pt>
                <pt idx="2">
                  <v>8</v>
                </pt>
                <pt idx="3">
                  <v>2</v>
                </pt>
              </numCache>
            </numRef>
          </val>
        </ser>
        <ser>
          <idx val="1"/>
          <order val="1"/>
          <tx>
            <strRef>
              <f>'Figure 38'!$C$3</f>
              <strCache>
                <ptCount val="1"/>
                <pt idx="0">
                  <v>Pet Supplement ($50)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38'!$A$4:$A$7</f>
              <strCache>
                <ptCount val="4"/>
                <pt idx="0">
                  <v>Raw Material</v>
                </pt>
                <pt idx="1">
                  <v>Manufacturing</v>
                </pt>
                <pt idx="2">
                  <v>Logistics/Mktg</v>
                </pt>
                <pt idx="3">
                  <v>Net Margin</v>
                </pt>
              </strCache>
            </strRef>
          </cat>
          <val>
            <numRef>
              <f>'Figure 38'!$C$4:$C$7</f>
              <numCache>
                <formatCode>General</formatCode>
                <ptCount val="4"/>
                <pt idx="0">
                  <v>10</v>
                </pt>
                <pt idx="1">
                  <v>15</v>
                </pt>
                <pt idx="2">
                  <v>15</v>
                </pt>
                <pt idx="3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50370001"/>
        <axId val="50370002"/>
      </barChart>
      <catAx>
        <axId val="50370001"/>
        <scaling>
          <orientation val="minMax"/>
        </scaling>
        <delete val="1"/>
        <axPos val="b"/>
        <numFmt formatCode="General" sourceLinked="0"/>
        <majorTickMark val="none"/>
        <minorTickMark val="none"/>
        <tickLblPos val="nextTo"/>
        <crossAx val="50370002"/>
        <crosses val="autoZero"/>
        <auto val="1"/>
        <lblAlgn val="ctr"/>
        <lblOffset val="100"/>
        <noMultiLvlLbl val="1"/>
      </catAx>
      <valAx>
        <axId val="50370002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5037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Risk/Reward Map: Size vs Margin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strRef>
              <f>'Figure 39'!$B$3</f>
              <strCache>
                <ptCount val="1"/>
                <pt idx="0">
                  <v>Market Size (bn)</v>
                </pt>
              </strCache>
            </strRef>
          </tx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strRef>
              <f>'Figure 39'!$A$4:$A$7</f>
              <strCache>
                <ptCount val="4"/>
                <pt idx="0">
                  <v>Pet Brands</v>
                </pt>
                <pt idx="1">
                  <v>Livestock Premix</v>
                </pt>
                <pt idx="2">
                  <v>Ingredients (IP)</v>
                </pt>
                <pt idx="3">
                  <v>Commodities</v>
                </pt>
              </strCache>
            </strRef>
          </xVal>
          <yVal>
            <numRef>
              <f>'Figure 39'!$B$4:$B$7</f>
              <numCache>
                <formatCode>General</formatCode>
                <ptCount val="4"/>
                <pt idx="0">
                  <v>6</v>
                </pt>
                <pt idx="1">
                  <v>8</v>
                </pt>
                <pt idx="2">
                  <v>2</v>
                </pt>
                <pt idx="3">
                  <v>5</v>
                </pt>
              </numCache>
            </numRef>
          </yVal>
          <smooth val="1"/>
        </ser>
        <ser>
          <idx val="1"/>
          <order val="1"/>
          <tx>
            <strRef>
              <f>'Figure 39'!$C$3</f>
              <strCache>
                <ptCount val="1"/>
                <pt idx="0">
                  <v>EBITDA Margin (%)</v>
                </pt>
              </strCache>
            </strRef>
          </tx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strRef>
              <f>'Figure 39'!$A$4:$A$7</f>
              <strCache>
                <ptCount val="4"/>
                <pt idx="0">
                  <v>Pet Brands</v>
                </pt>
                <pt idx="1">
                  <v>Livestock Premix</v>
                </pt>
                <pt idx="2">
                  <v>Ingredients (IP)</v>
                </pt>
                <pt idx="3">
                  <v>Commodities</v>
                </pt>
              </strCache>
            </strRef>
          </xVal>
          <yVal>
            <numRef>
              <f>'Figure 39'!$C$4:$C$7</f>
              <numCache>
                <formatCode>General</formatCode>
                <ptCount val="4"/>
                <pt idx="0">
                  <v>22</v>
                </pt>
                <pt idx="1">
                  <v>10</v>
                </pt>
                <pt idx="2">
                  <v>25</v>
                </pt>
                <pt idx="3">
                  <v>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50380001"/>
        <axId val="50380002"/>
      </scatterChart>
      <valAx>
        <axId val="50380001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50380002"/>
        <crosses val="autoZero"/>
        <crossBetween val="midCat"/>
      </valAx>
      <valAx>
        <axId val="50380002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50380001"/>
        <crosses val="autoZero"/>
        <crossBetween val="midCat"/>
      </valAx>
    </plotArea>
    <legend>
      <legendPos val="r"/>
      <overlay val="1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The Pharma Integration Funnel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'Figure 40'!$B$3</f>
              <strCache>
                <ptCount val="1"/>
                <pt idx="0">
                  <v>Customer Volume (Index)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40'!$A$4:$A$6</f>
              <strCache>
                <ptCount val="3"/>
                <pt idx="0">
                  <v>OTC Trial (Nutraceutical)</v>
                </pt>
                <pt idx="1">
                  <v>Regular User</v>
                </pt>
                <pt idx="2">
                  <v>Rx Conversion</v>
                </pt>
              </strCache>
            </strRef>
          </cat>
          <val>
            <numRef>
              <f>'Figure 40'!$B$4:$B$6</f>
              <numCache>
                <formatCode>General</formatCode>
                <ptCount val="3"/>
                <pt idx="0">
                  <v>100</v>
                </pt>
                <pt idx="1">
                  <v>40</v>
                </pt>
                <pt idx="2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390001"/>
        <axId val="50390002"/>
      </barChart>
      <catAx>
        <axId val="50390001"/>
        <scaling>
          <orientation val="minMax"/>
        </scaling>
        <delete val="1"/>
        <axPos val="l"/>
        <numFmt formatCode="General" sourceLinked="0"/>
        <majorTickMark val="none"/>
        <minorTickMark val="none"/>
        <tickLblPos val="nextTo"/>
        <crossAx val="50390002"/>
        <crosses val="autoZero"/>
        <auto val="1"/>
        <lblAlgn val="ctr"/>
        <lblOffset val="100"/>
        <noMultiLvlLbl val="1"/>
      </catAx>
      <valAx>
        <axId val="50390002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5039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Revenue Comparison: Pharma vs Nutrition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'Figure 41'!$B$3</f>
              <strCache>
                <ptCount val="1"/>
                <pt idx="0">
                  <v>Estimated 2024 Revenue (USD Billions)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41'!$A$4:$A$8</f>
              <strCache>
                <ptCount val="5"/>
                <pt idx="0">
                  <v>Nestlé Purina</v>
                </pt>
                <pt idx="1">
                  <v>Mars Petcare</v>
                </pt>
                <pt idx="2">
                  <v>Hill's</v>
                </pt>
                <pt idx="3">
                  <v>Blue Buffalo</v>
                </pt>
                <pt idx="4">
                  <v>Zoetis</v>
                </pt>
              </strCache>
            </strRef>
          </cat>
          <val>
            <numRef>
              <f>'Figure 41'!$B$4:$B$8</f>
              <numCache>
                <formatCode>General</formatCode>
                <ptCount val="5"/>
                <pt idx="0">
                  <v>22.4</v>
                </pt>
                <pt idx="1">
                  <v>22</v>
                </pt>
                <pt idx="2">
                  <v>4.4</v>
                </pt>
                <pt idx="3">
                  <v>2.3</v>
                </pt>
                <pt idx="4">
                  <v>9.300000000000001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400001"/>
        <axId val="50400002"/>
      </barChart>
      <catAx>
        <axId val="50400001"/>
        <scaling>
          <orientation val="minMax"/>
        </scaling>
        <delete val="1"/>
        <axPos val="l"/>
        <numFmt formatCode="General" sourceLinked="0"/>
        <majorTickMark val="none"/>
        <minorTickMark val="none"/>
        <tickLblPos val="nextTo"/>
        <crossAx val="50400002"/>
        <crosses val="autoZero"/>
        <auto val="1"/>
        <lblAlgn val="ctr"/>
        <lblOffset val="100"/>
        <noMultiLvlLbl val="1"/>
      </catAx>
      <valAx>
        <axId val="50400002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5040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Global Pet Nutrition Market Share</a:t>
            </a:r>
          </a:p>
        </rich>
      </tx>
      <overlay val="1"/>
    </title>
    <plotArea>
      <layout/>
      <pieChart>
        <varyColors val="1"/>
        <ser>
          <idx val="0"/>
          <order val="0"/>
          <tx>
            <strRef>
              <f>'Figure 43'!$B$3</f>
              <strCache>
                <ptCount val="1"/>
                <pt idx="0">
                  <v>Share (%)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'Figure 43'!$A$4:$A$8</f>
              <strCache>
                <ptCount val="5"/>
                <pt idx="0">
                  <v>Nestlé Purina</v>
                </pt>
                <pt idx="1">
                  <v>Mars Petcare</v>
                </pt>
                <pt idx="2">
                  <v>Hill's</v>
                </pt>
                <pt idx="3">
                  <v>Blue Buffalo (Gen Mills)</v>
                </pt>
                <pt idx="4">
                  <v>Others (Fragmented)</v>
                </pt>
              </strCache>
            </strRef>
          </cat>
          <val>
            <numRef>
              <f>'Figure 43'!$B$4:$B$8</f>
              <numCache>
                <formatCode>General</formatCode>
                <ptCount val="5"/>
                <pt idx="0">
                  <v>24.6</v>
                </pt>
                <pt idx="1">
                  <v>24.1</v>
                </pt>
                <pt idx="2">
                  <v>4.8</v>
                </pt>
                <pt idx="3">
                  <v>2.5</v>
                </pt>
                <pt idx="4">
                  <v>43.9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/>
          </a:r>
          <a:endParaRPr lang="en-US"/>
        </a:p>
      </txPr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The Margin Ladder: Value Capture by Step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'Figure 44'!$B$3</f>
              <strCache>
                <ptCount val="1"/>
                <pt idx="0">
                  <v>Est. EBITDA Margin (%)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'Figure 44'!$A$4:$A$8</f>
              <strCache>
                <ptCount val="5"/>
                <pt idx="0">
                  <v>Commodity Feed</v>
                </pt>
                <pt idx="1">
                  <v>Specialty Premix</v>
                </pt>
                <pt idx="2">
                  <v>Distributor</v>
                </pt>
                <pt idx="3">
                  <v>Pet Retailer</v>
                </pt>
                <pt idx="4">
                  <v>Pharma-Nutra Brand</v>
                </pt>
              </strCache>
            </strRef>
          </cat>
          <val>
            <numRef>
              <f>'Figure 44'!$B$4:$B$8</f>
              <numCache>
                <formatCode>General</formatCode>
                <ptCount val="5"/>
                <pt idx="0">
                  <v>4</v>
                </pt>
                <pt idx="1">
                  <v>8</v>
                </pt>
                <pt idx="2">
                  <v>12</v>
                </pt>
                <pt idx="3">
                  <v>15</v>
                </pt>
                <pt idx="4">
                  <v>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420001"/>
        <axId val="50420002"/>
      </barChart>
      <catAx>
        <axId val="50420001"/>
        <scaling>
          <orientation val="minMax"/>
        </scaling>
        <delete val="1"/>
        <axPos val="l"/>
        <numFmt formatCode="General" sourceLinked="0"/>
        <majorTickMark val="none"/>
        <minorTickMark val="none"/>
        <tickLblPos val="nextTo"/>
        <crossAx val="50420002"/>
        <crosses val="autoZero"/>
        <auto val="1"/>
        <lblAlgn val="ctr"/>
        <lblOffset val="100"/>
        <noMultiLvlLbl val="1"/>
      </catAx>
      <valAx>
        <axId val="50420002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50420001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Strategic Matrix: Evidence vs Scale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strRef>
              <f>'Figure 45'!$B$3</f>
              <strCache>
                <ptCount val="1"/>
                <pt idx="0">
                  <v>Clinical Evidence Score (1-10)</v>
                </pt>
              </strCache>
            </strRef>
          </tx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strRef>
              <f>'Figure 45'!$A$4:$A$7</f>
              <strCache>
                <ptCount val="4"/>
                <pt idx="0">
                  <v>Zoetis</v>
                </pt>
                <pt idx="1">
                  <v>Novonesis</v>
                </pt>
                <pt idx="2">
                  <v>Swedencare</v>
                </pt>
                <pt idx="3">
                  <v>DSM-Firmenich</v>
                </pt>
              </strCache>
            </strRef>
          </xVal>
          <yVal>
            <numRef>
              <f>'Figure 45'!$B$4:$B$7</f>
              <numCache>
                <formatCode>General</formatCode>
                <ptCount val="4"/>
                <pt idx="0">
                  <v>9</v>
                </pt>
                <pt idx="1">
                  <v>9</v>
                </pt>
                <pt idx="2">
                  <v>7</v>
                </pt>
                <pt idx="3">
                  <v>8</v>
                </pt>
              </numCache>
            </numRef>
          </yVal>
          <smooth val="1"/>
        </ser>
        <ser>
          <idx val="1"/>
          <order val="1"/>
          <tx>
            <strRef>
              <f>'Figure 45'!$C$3</f>
              <strCache>
                <ptCount val="1"/>
                <pt idx="0">
                  <v>Commercial Scale Score (1-10)</v>
                </pt>
              </strCache>
            </strRef>
          </tx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strRef>
              <f>'Figure 45'!$A$4:$A$7</f>
              <strCache>
                <ptCount val="4"/>
                <pt idx="0">
                  <v>Zoetis</v>
                </pt>
                <pt idx="1">
                  <v>Novonesis</v>
                </pt>
                <pt idx="2">
                  <v>Swedencare</v>
                </pt>
                <pt idx="3">
                  <v>DSM-Firmenich</v>
                </pt>
              </strCache>
            </strRef>
          </xVal>
          <yVal>
            <numRef>
              <f>'Figure 45'!$C$4:$C$7</f>
              <numCache>
                <formatCode>General</formatCode>
                <ptCount val="4"/>
                <pt idx="0">
                  <v>10</v>
                </pt>
                <pt idx="1">
                  <v>6</v>
                </pt>
                <pt idx="2">
                  <v>4</v>
                </pt>
                <pt idx="3">
                  <v>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50430001"/>
        <axId val="50430002"/>
      </scatterChart>
      <valAx>
        <axId val="50430001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50430002"/>
        <crosses val="autoZero"/>
        <crossBetween val="midCat"/>
      </valAx>
      <valAx>
        <axId val="50430002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50430001"/>
        <crosses val="autoZero"/>
        <crossBetween val="midCat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/></Relationships>
</file>

<file path=xl/drawings/drawing1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4</col>
      <colOff>25400</colOff>
      <row>5</row>
      <rowOff>12700</rowOff>
    </from>
    <to>
      <col>15</col>
      <colOff>177800</colOff>
      <row>29</row>
      <rowOff>12700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8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9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0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1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2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3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4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5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6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7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8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9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0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1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2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3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4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5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6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7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8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9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0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1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2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3.xml><?xml version="1.0" encoding="utf-8"?>
<wsDr xmlns="http://schemas.openxmlformats.org/drawingml/2006/spreadsheetDrawing">
  <twoCellAnchor>
    <from>
      <col>4</col>
      <colOff>0</colOff>
      <row>2</row>
      <rowOff>0</rowOff>
    </from>
    <to>
      <col>13</col>
      <colOff>600075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4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5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6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7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8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9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0.xml><?xml version="1.0" encoding="utf-8"?>
<wsDr xmlns="http://schemas.openxmlformats.org/drawingml/2006/spreadsheetDrawing">
  <twoCellAnchor>
    <from>
      <col>6</col>
      <colOff>241300</colOff>
      <row>2</row>
      <rowOff>165100</rowOff>
    </from>
    <to>
      <col>17</col>
      <colOff>393700</colOff>
      <row>26</row>
      <rowOff>165100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1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2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3.xml><?xml version="1.0" encoding="utf-8"?>
<wsDr xmlns="http://schemas.openxmlformats.org/drawingml/2006/spreadsheetDrawing">
  <twoCellAnchor>
    <from>
      <col>4</col>
      <colOff>0</colOff>
      <row>2</row>
      <rowOff>0</rowOff>
    </from>
    <to>
      <col>15</col>
      <colOff>152400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7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8.xml" Id="rId1"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39.xml" Id="rId1"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0.xml" Id="rId1"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1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2.xml" Id="rId1"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10" defaultColWidth="8.83203125" defaultRowHeight="15"/>
  <cols>
    <col width="15.6640625" customWidth="1" min="1" max="1"/>
    <col width="50.6640625" customWidth="1" min="2" max="2"/>
  </cols>
  <sheetData>
    <row r="1" ht="21" customHeight="1">
      <c r="A1" s="1" t="inlineStr">
        <is>
          <t>Master Figure Index</t>
        </is>
      </c>
    </row>
    <row r="2">
      <c r="A2" t="inlineStr">
        <is>
          <t>Generated: 2026-02-06</t>
        </is>
      </c>
    </row>
    <row r="4">
      <c r="A4" s="2" t="inlineStr">
        <is>
          <t>Sheet ID</t>
        </is>
      </c>
      <c r="B4" s="2" t="inlineStr">
        <is>
          <t>Figure Title</t>
        </is>
      </c>
    </row>
    <row r="5">
      <c r="A5" s="3" t="inlineStr">
        <is>
          <t>Figure 1</t>
        </is>
      </c>
      <c r="B5" s="4" t="inlineStr">
        <is>
          <t>Regulatory Landscape Comparison: US vs EU</t>
        </is>
      </c>
    </row>
    <row r="6">
      <c r="A6" s="3" t="inlineStr">
        <is>
          <t>Figure 2</t>
        </is>
      </c>
      <c r="B6" s="4" t="inlineStr">
        <is>
          <t>Regulatory Timeline: The Push for Alternatives</t>
        </is>
      </c>
    </row>
    <row r="7">
      <c r="A7" s="3" t="inlineStr">
        <is>
          <t>Figure 3</t>
        </is>
      </c>
      <c r="B7" s="4" t="inlineStr">
        <is>
          <t>Regulatory Pathways: Cost vs Claim Strength</t>
        </is>
      </c>
    </row>
    <row r="8">
      <c r="A8" s="3" t="inlineStr">
        <is>
          <t>Figure 4</t>
        </is>
      </c>
      <c r="B8" s="4" t="inlineStr">
        <is>
          <t>Total Addressable Market (TAM) Reconciliation (2024)</t>
        </is>
      </c>
    </row>
    <row r="9">
      <c r="A9" s="3" t="inlineStr">
        <is>
          <t>Figure 5</t>
        </is>
      </c>
      <c r="B9" s="4" t="inlineStr">
        <is>
          <t>The Innovation-Premium Matrix: R&amp;D Intensity vs Margins</t>
        </is>
      </c>
    </row>
    <row r="10">
      <c r="A10" s="3" t="inlineStr">
        <is>
          <t>Figure 6</t>
        </is>
      </c>
      <c r="B10" s="4" t="inlineStr">
        <is>
          <t>Market Bifurcation: Structural Economics</t>
        </is>
      </c>
    </row>
    <row r="11">
      <c r="A11" s="3" t="inlineStr">
        <is>
          <t>Figure 7</t>
        </is>
      </c>
      <c r="B11" s="4" t="inlineStr">
        <is>
          <t>Mobility Market: Efficacy vs Value</t>
        </is>
      </c>
    </row>
    <row r="12">
      <c r="A12" s="3" t="inlineStr">
        <is>
          <t>Figure 8</t>
        </is>
      </c>
      <c r="B12" s="4" t="inlineStr">
        <is>
          <t>Gut Health Market: Efficacy vs Value</t>
        </is>
      </c>
    </row>
    <row r="13">
      <c r="A13" s="3" t="inlineStr">
        <is>
          <t>Figure 9</t>
        </is>
      </c>
      <c r="B13" s="4" t="inlineStr">
        <is>
          <t>Immunity Market: Efficacy vs Value</t>
        </is>
      </c>
    </row>
    <row r="14">
      <c r="A14" s="3" t="inlineStr">
        <is>
          <t>Figure 10</t>
        </is>
      </c>
      <c r="B14" s="4" t="inlineStr">
        <is>
          <t>Cognitive Health: Efficacy vs Value</t>
        </is>
      </c>
    </row>
    <row r="15">
      <c r="A15" s="3" t="inlineStr">
        <is>
          <t>Figure 11</t>
        </is>
      </c>
      <c r="B15" s="4" t="inlineStr">
        <is>
          <t>Calming Sector: Efficacy vs Value</t>
        </is>
      </c>
    </row>
    <row r="16">
      <c r="A16" s="3" t="inlineStr">
        <is>
          <t>Figure 12</t>
        </is>
      </c>
      <c r="B16" s="4" t="inlineStr">
        <is>
          <t>Performance/FCR: Efficacy vs Value</t>
        </is>
      </c>
    </row>
    <row r="17">
      <c r="A17" s="3" t="inlineStr">
        <is>
          <t>Figure 13</t>
        </is>
      </c>
      <c r="B17" s="4" t="inlineStr">
        <is>
          <t>Special Niches: Efficacy vs Value</t>
        </is>
      </c>
    </row>
    <row r="18">
      <c r="A18" s="3" t="inlineStr">
        <is>
          <t>Figure 14</t>
        </is>
      </c>
      <c r="B18" s="4" t="inlineStr">
        <is>
          <t>Natural Ectoparasite: Efficacy vs Value</t>
        </is>
      </c>
    </row>
    <row r="19">
      <c r="A19" s="3" t="inlineStr">
        <is>
          <t>Figure 15</t>
        </is>
      </c>
      <c r="B19" s="4" t="inlineStr">
        <is>
          <t>Nutrigenomics: Efficacy vs Value</t>
        </is>
      </c>
    </row>
    <row r="20">
      <c r="A20" s="3" t="inlineStr">
        <is>
          <t>Figure 16</t>
        </is>
      </c>
      <c r="B20" s="4" t="inlineStr">
        <is>
          <t>Delivery Systems: Maturity vs Value</t>
        </is>
      </c>
    </row>
    <row r="21">
      <c r="A21" s="3" t="inlineStr">
        <is>
          <t>Figure 17</t>
        </is>
      </c>
      <c r="B21" s="4" t="inlineStr">
        <is>
          <t>Sustainability: Efficacy vs Value</t>
        </is>
      </c>
    </row>
    <row r="22">
      <c r="A22" s="3" t="inlineStr">
        <is>
          <t>Figure 18</t>
        </is>
      </c>
      <c r="B22" s="4" t="inlineStr">
        <is>
          <t>Total Revenue Potential by Functional Segment</t>
        </is>
      </c>
    </row>
    <row r="23">
      <c r="A23" s="3" t="inlineStr">
        <is>
          <t>Figure 19</t>
        </is>
      </c>
      <c r="B23" s="4" t="inlineStr">
        <is>
          <t>Top 7 Power Ingredients/Technologies by Value</t>
        </is>
      </c>
    </row>
    <row r="24">
      <c r="A24" s="3" t="inlineStr">
        <is>
          <t>Figure 20</t>
        </is>
      </c>
      <c r="B24" s="4" t="inlineStr">
        <is>
          <t>Household Pet Ownership Rate by Region</t>
        </is>
      </c>
    </row>
    <row r="25">
      <c r="A25" s="3" t="inlineStr">
        <is>
          <t>Figure 21</t>
        </is>
      </c>
      <c r="B25" s="4" t="inlineStr">
        <is>
          <t>EU Pet Population Structure</t>
        </is>
      </c>
    </row>
    <row r="26">
      <c r="A26" s="3" t="inlineStr">
        <is>
          <t>Figure 22</t>
        </is>
      </c>
      <c r="B26" s="4" t="inlineStr">
        <is>
          <t>EU Pet Population Growth (2018-2023)</t>
        </is>
      </c>
    </row>
    <row r="27">
      <c r="A27" s="3" t="inlineStr">
        <is>
          <t>Figure 23</t>
        </is>
      </c>
      <c r="B27" s="4" t="inlineStr">
        <is>
          <t>Regional Market Size: Pet Nutraceuticals</t>
        </is>
      </c>
    </row>
    <row r="28">
      <c r="A28" s="3" t="inlineStr">
        <is>
          <t>Figure 24</t>
        </is>
      </c>
      <c r="B28" s="4" t="inlineStr">
        <is>
          <t>Probiotics Market: Volume Share vs Revenue</t>
        </is>
      </c>
    </row>
    <row r="29">
      <c r="A29" s="3" t="inlineStr">
        <is>
          <t>Figure 25</t>
        </is>
      </c>
      <c r="B29" s="4" t="inlineStr">
        <is>
          <t>Impact of HPAI: Cumulative Bird Losses</t>
        </is>
      </c>
    </row>
    <row r="30">
      <c r="A30" s="3" t="inlineStr">
        <is>
          <t>Figure 26</t>
        </is>
      </c>
      <c r="B30" s="4" t="inlineStr">
        <is>
          <t>EU Swine Herd Structural Decline (Index 2014=100)</t>
        </is>
      </c>
    </row>
    <row r="31">
      <c r="A31" s="3" t="inlineStr">
        <is>
          <t>Figure 27</t>
        </is>
      </c>
      <c r="B31" s="4" t="inlineStr">
        <is>
          <t>US Cattle Inventory: The 70-Year Low</t>
        </is>
      </c>
    </row>
    <row r="32">
      <c r="A32" s="3" t="inlineStr">
        <is>
          <t>Figure 28</t>
        </is>
      </c>
      <c r="B32" s="4" t="inlineStr">
        <is>
          <t>Divergent Production Trends: Poultry vs Bovine</t>
        </is>
      </c>
    </row>
    <row r="33">
      <c r="A33" s="3" t="inlineStr">
        <is>
          <t>Figure 29</t>
        </is>
      </c>
      <c r="B33" s="4" t="inlineStr">
        <is>
          <t>The Blue Transformation: Aquaculture vs Capture</t>
        </is>
      </c>
    </row>
    <row r="34">
      <c r="A34" s="3" t="inlineStr">
        <is>
          <t>Figure 30</t>
        </is>
      </c>
      <c r="B34" s="4" t="inlineStr">
        <is>
          <t>Preferred Delivery Formats by Species</t>
        </is>
      </c>
    </row>
    <row r="35">
      <c r="A35" s="3" t="inlineStr">
        <is>
          <t>Figure 31</t>
        </is>
      </c>
      <c r="B35" s="4" t="inlineStr">
        <is>
          <t>Preventive Health Wallet Allocation</t>
        </is>
      </c>
    </row>
    <row r="36">
      <c r="A36" s="3" t="inlineStr">
        <is>
          <t>Figure 32</t>
        </is>
      </c>
      <c r="B36" s="4" t="inlineStr">
        <is>
          <t>Consumer Segmentation: The Pareto Effect</t>
        </is>
      </c>
    </row>
    <row r="37">
      <c r="A37" s="3" t="inlineStr">
        <is>
          <t>Figure 33</t>
        </is>
      </c>
      <c r="B37" s="4" t="inlineStr">
        <is>
          <t>Psychological Drivers of Purchase</t>
        </is>
      </c>
    </row>
    <row r="38">
      <c r="A38" s="3" t="inlineStr">
        <is>
          <t>Figure 34</t>
        </is>
      </c>
      <c r="B38" s="4" t="inlineStr">
        <is>
          <t>Evolution of Mobility Ingredients (Share %)</t>
        </is>
      </c>
    </row>
    <row r="39">
      <c r="A39" s="3" t="inlineStr">
        <is>
          <t>Figure 35</t>
        </is>
      </c>
      <c r="B39" s="4" t="inlineStr">
        <is>
          <t>Growth of the Senior Pet Wellness Market</t>
        </is>
      </c>
    </row>
    <row r="40">
      <c r="A40" s="3" t="inlineStr">
        <is>
          <t>Figure 36</t>
        </is>
      </c>
      <c r="B40" s="4" t="inlineStr">
        <is>
          <t>Value Chain Economics: Margin Capture</t>
        </is>
      </c>
    </row>
    <row r="41">
      <c r="A41" s="3" t="inlineStr">
        <is>
          <t>Figure 37</t>
        </is>
      </c>
      <c r="B41" s="4" t="inlineStr">
        <is>
          <t>Vet Channel Margin Erosion (Due to E-Comm)</t>
        </is>
      </c>
    </row>
    <row r="42">
      <c r="A42" s="3" t="inlineStr">
        <is>
          <t>Figure 38</t>
        </is>
      </c>
      <c r="B42" s="4" t="inlineStr">
        <is>
          <t>Value Waterfall: Livestock vs Pet Cost Structure</t>
        </is>
      </c>
    </row>
    <row r="43">
      <c r="A43" s="3" t="inlineStr">
        <is>
          <t>Figure 39</t>
        </is>
      </c>
      <c r="B43" s="4" t="inlineStr">
        <is>
          <t>Risk/Reward Map: Size vs Margin</t>
        </is>
      </c>
    </row>
    <row r="44">
      <c r="A44" s="3" t="inlineStr">
        <is>
          <t>Figure 40</t>
        </is>
      </c>
      <c r="B44" s="4" t="inlineStr">
        <is>
          <t>The Pharma Integration Funnel</t>
        </is>
      </c>
    </row>
    <row r="45">
      <c r="A45" s="3" t="inlineStr">
        <is>
          <t>Figure 41</t>
        </is>
      </c>
      <c r="B45" s="4" t="inlineStr">
        <is>
          <t>Revenue Comparison: Pharma vs Nutrition</t>
        </is>
      </c>
    </row>
    <row r="46">
      <c r="A46" s="3" t="inlineStr">
        <is>
          <t>Figure 42</t>
        </is>
      </c>
      <c r="B46" s="4" t="inlineStr">
        <is>
          <t>Capability Matrix: Continuum of Care Coverage</t>
        </is>
      </c>
    </row>
    <row r="47">
      <c r="A47" s="3" t="inlineStr">
        <is>
          <t>Figure 43</t>
        </is>
      </c>
      <c r="B47" s="4" t="inlineStr">
        <is>
          <t>Global Pet Nutrition Market Share</t>
        </is>
      </c>
    </row>
    <row r="48">
      <c r="A48" s="3" t="inlineStr">
        <is>
          <t>Figure 44</t>
        </is>
      </c>
      <c r="B48" s="4" t="inlineStr">
        <is>
          <t>The Margin Ladder: Value Capture by Step</t>
        </is>
      </c>
    </row>
    <row r="49">
      <c r="A49" s="3" t="inlineStr">
        <is>
          <t>Figure 45</t>
        </is>
      </c>
      <c r="B49" s="4" t="inlineStr">
        <is>
          <t>Strategic Matrix: Evidence vs Scale</t>
        </is>
      </c>
    </row>
    <row r="50">
      <c r="A50" t="inlineStr">
        <is>
          <t>Figure 46</t>
        </is>
      </c>
      <c r="B50" t="inlineStr">
        <is>
          <t>Global corporate, startup, and investor landscape by region.</t>
        </is>
      </c>
    </row>
  </sheetData>
  <hyperlinks>
    <hyperlink ref="B5" location="'Figure 1'!A1" display="Regulatory Landscape Comparison: US vs EU"/>
    <hyperlink ref="B6" location="'Figure 2'!A1" display="Regulatory Timeline: The Push for Alternatives"/>
    <hyperlink ref="B7" location="'Figure 3'!A1" display="Regulatory Pathways: Cost vs Claim Strength"/>
    <hyperlink ref="B8" location="'Figure 4'!A1" display="Total Addressable Market (TAM) Reconciliation (2024)"/>
    <hyperlink ref="B9" location="'Figure 5'!A1" display="The Innovation-Premium Matrix: R&amp;D Intensity vs Margins"/>
    <hyperlink ref="B10" location="'Figure 6'!A1" display="Market Bifurcation: Structural Economics"/>
    <hyperlink ref="B11" location="'Figure 7'!A1" display="Mobility Market: Efficacy vs Value"/>
    <hyperlink ref="B12" location="'Figure 8'!A1" display="Gut Health Market: Efficacy vs Value"/>
    <hyperlink ref="B13" location="'Figure 9'!A1" display="Immunity Market: Efficacy vs Value"/>
    <hyperlink ref="B14" location="'Figure 10'!A1" display="Cognitive Health: Efficacy vs Value"/>
    <hyperlink ref="B15" location="'Figure 11'!A1" display="Calming Sector: Efficacy vs Value"/>
    <hyperlink ref="B16" location="'Figure 12'!A1" display="Performance/FCR: Efficacy vs Value"/>
    <hyperlink ref="B17" location="'Figure 13'!A1" display="Special Niches: Efficacy vs Value"/>
    <hyperlink ref="B18" location="'Figure 14'!A1" display="Natural Ectoparasite: Efficacy vs Value"/>
    <hyperlink ref="B19" location="'Figure 15'!A1" display="Nutrigenomics: Efficacy vs Value"/>
    <hyperlink ref="B20" location="'Figure 16'!A1" display="Delivery Systems: Maturity vs Value"/>
    <hyperlink ref="B21" location="'Figure 17'!A1" display="Sustainability: Efficacy vs Value"/>
    <hyperlink ref="B22" location="'Figure 18'!A1" display="Total Revenue Potential by Functional Segment"/>
    <hyperlink ref="B23" location="'Figure 19'!A1" display="Top 7 Power Ingredients/Technologies by Value"/>
    <hyperlink ref="B24" location="'Figure 20'!A1" display="Household Pet Ownership Rate by Region"/>
    <hyperlink ref="B25" location="'Figure 21'!A1" display="EU Pet Population Structure"/>
    <hyperlink ref="B26" location="'Figure 22'!A1" display="EU Pet Population Growth (2018-2023)"/>
    <hyperlink ref="B27" location="'Figure 23'!A1" display="Regional Market Size: Pet Nutraceuticals"/>
    <hyperlink ref="B28" location="'Figure 24'!A1" display="Probiotics Market: Volume Share vs Revenue"/>
    <hyperlink ref="B29" location="'Figure 25'!A1" display="Impact of HPAI: Cumulative Bird Losses"/>
    <hyperlink ref="B30" location="'Figure 26'!A1" display="EU Swine Herd Structural Decline (Index 2014=100)"/>
    <hyperlink ref="B31" location="'Figure 27'!A1" display="US Cattle Inventory: The 70-Year Low"/>
    <hyperlink ref="B32" location="'Figure 28'!A1" display="Divergent Production Trends: Poultry vs Bovine"/>
    <hyperlink ref="B33" location="'Figure 29'!A1" display="The Blue Transformation: Aquaculture vs Capture"/>
    <hyperlink ref="B34" location="'Figure 30'!A1" display="Preferred Delivery Formats by Species"/>
    <hyperlink ref="B35" location="'Figure 31'!A1" display="Preventive Health Wallet Allocation"/>
    <hyperlink ref="B36" location="'Figure 32'!A1" display="Consumer Segmentation: The Pareto Effect"/>
    <hyperlink ref="B37" location="'Figure 33'!A1" display="Psychological Drivers of Purchase"/>
    <hyperlink ref="B38" location="'Figure 34'!A1" display="Evolution of Mobility Ingredients (Share %)"/>
    <hyperlink ref="B39" location="'Figure 35'!A1" display="Growth of the Senior Pet Wellness Market"/>
    <hyperlink ref="B40" location="'Figure 36'!A1" display="Value Chain Economics: Margin Capture"/>
    <hyperlink ref="B41" location="'Figure 37'!A1" display="Vet Channel Margin Erosion (Due to E-Comm)"/>
    <hyperlink ref="B42" location="'Figure 38'!A1" display="Value Waterfall: Livestock vs Pet Cost Structure"/>
    <hyperlink ref="B43" location="'Figure 39'!A1" display="Risk/Reward Map: Size vs Margin"/>
    <hyperlink ref="B44" location="'Figure 40'!A1" display="The Pharma Integration Funnel"/>
    <hyperlink ref="B45" location="'Figure 41'!A1" display="Revenue Comparison: Pharma vs Nutrition"/>
    <hyperlink ref="B46" location="'Figure 42'!A1" display="Capability Matrix: Continuum of Care Coverage"/>
    <hyperlink ref="B47" location="'Figure 43'!A1" display="Global Pet Nutrition Market Share"/>
    <hyperlink ref="B48" location="'Figure 44'!A1" display="The Margin Ladder: Value Capture by Step"/>
    <hyperlink ref="B49" location="'Figure 45'!A1" display="Strategic Matrix: Evidence vs Scal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3"/>
  </cols>
  <sheetData>
    <row r="1" ht="19" customHeight="1">
      <c r="A1" s="5" t="inlineStr">
        <is>
          <t>Regulatory Landscape Comparison: US vs EU vs UK vs China</t>
        </is>
      </c>
    </row>
    <row r="2">
      <c r="A2" t="inlineStr">
        <is>
          <t>Feature</t>
        </is>
      </c>
      <c r="B2" t="inlineStr">
        <is>
          <t>United States (US)</t>
        </is>
      </c>
      <c r="C2" t="inlineStr">
        <is>
          <t>European Union (EU)</t>
        </is>
      </c>
      <c r="D2" t="inlineStr">
        <is>
          <t>United Kingdom (UK)</t>
        </is>
      </c>
      <c r="E2" t="inlineStr">
        <is>
          <t>China</t>
        </is>
      </c>
    </row>
    <row r="3">
      <c r="A3" s="2" t="inlineStr">
        <is>
          <t>Nutraceutical Definition</t>
        </is>
      </c>
      <c r="B3" s="2" t="inlineStr">
        <is>
          <t>Undefined (Food vs Drug)</t>
        </is>
      </c>
      <c r="C3" s="2" t="inlineStr">
        <is>
          <t>Undefined (Feed vs VMP)</t>
        </is>
      </c>
      <c r="D3" t="inlineStr">
        <is>
          <t>Undefined (Feed vs VMP)</t>
        </is>
      </c>
      <c r="E3" t="inlineStr">
        <is>
          <t>Undefined (Feed Additive vs VMP)</t>
        </is>
      </c>
    </row>
    <row r="4">
      <c r="A4" s="3" t="inlineStr">
        <is>
          <t>Regulatory Body</t>
        </is>
      </c>
      <c r="B4" s="3" t="inlineStr">
        <is>
          <t>FDA-CVM &amp; AAFCO</t>
        </is>
      </c>
      <c r="C4" s="3" t="inlineStr">
        <is>
          <t>EFSA &amp; National Agencies</t>
        </is>
      </c>
      <c r="D4" t="inlineStr">
        <is>
          <t>VMD &amp; FSA</t>
        </is>
      </c>
      <c r="E4" t="inlineStr">
        <is>
          <t>MARA &amp; SAMR</t>
        </is>
      </c>
    </row>
    <row r="5">
      <c r="A5" s="3" t="inlineStr">
        <is>
          <t>Disease Claims</t>
        </is>
      </c>
      <c r="B5" s="3" t="inlineStr">
        <is>
          <t>Prohibited (Drug only)</t>
        </is>
      </c>
      <c r="C5" s="3" t="inlineStr">
        <is>
          <t>Prohibited (PARNUTs exception)</t>
        </is>
      </c>
      <c r="D5" t="inlineStr">
        <is>
          <t>Prohibited (Drug only)</t>
        </is>
      </c>
      <c r="E5" t="inlineStr">
        <is>
          <t>Restricted by registration class</t>
        </is>
      </c>
    </row>
    <row r="6">
      <c r="A6" s="3" t="inlineStr">
        <is>
          <t>Market Entry Speed</t>
        </is>
      </c>
      <c r="B6" s="3" t="inlineStr">
        <is>
          <t>Fast (Notification)</t>
        </is>
      </c>
      <c r="C6" s="3" t="inlineStr">
        <is>
          <t>Slow (Dossier Approval)</t>
        </is>
      </c>
      <c r="D6" t="inlineStr">
        <is>
          <t>Medium (Route-dependent)</t>
        </is>
      </c>
      <c r="E6" t="inlineStr">
        <is>
          <t>Medium-Slow (Registration dependent)</t>
        </is>
      </c>
    </row>
    <row r="7">
      <c r="A7" s="3" t="inlineStr">
        <is>
          <t>Source: FDA-CVM, EFSA, UK VMD/FSA, MARA filings.</t>
        </is>
      </c>
      <c r="B7" s="3" t="n"/>
      <c r="C7" s="3" t="n"/>
    </row>
    <row r="9">
      <c r="A9" s="6" t="inlineStr">
        <is>
          <t>Source: FDA-CVM, EFSA Regulations.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2"/>
  </cols>
  <sheetData>
    <row r="1" ht="19" customHeight="1">
      <c r="A1" s="5" t="inlineStr">
        <is>
          <t>Regulatory Timeline: The Push for Alternatives</t>
        </is>
      </c>
    </row>
    <row r="3">
      <c r="A3" s="2" t="inlineStr">
        <is>
          <t>Year</t>
        </is>
      </c>
      <c r="B3" s="2" t="inlineStr">
        <is>
          <t>Event Impact (Scale 1-10)</t>
        </is>
      </c>
    </row>
    <row r="4">
      <c r="A4" s="3" t="n">
        <v>2006</v>
      </c>
      <c r="B4" s="3" t="n">
        <v>10</v>
      </c>
    </row>
    <row r="5">
      <c r="A5" s="3" t="n">
        <v>2017</v>
      </c>
      <c r="B5" s="3" t="n">
        <v>8</v>
      </c>
    </row>
    <row r="6">
      <c r="A6" s="3" t="n">
        <v>2022</v>
      </c>
      <c r="B6" s="3" t="n">
        <v>9</v>
      </c>
    </row>
    <row r="7">
      <c r="A7" s="3" t="n">
        <v>2024</v>
      </c>
      <c r="B7" s="3" t="n">
        <v>7</v>
      </c>
    </row>
    <row r="8">
      <c r="A8" s="3" t="n">
        <v>2025</v>
      </c>
      <c r="B8" s="3" t="n">
        <v>6</v>
      </c>
    </row>
    <row r="10">
      <c r="A10" s="6" t="inlineStr">
        <is>
          <t>Source: Regulatory Filings Analysis.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4"/>
  </cols>
  <sheetData>
    <row r="1" ht="19" customHeight="1">
      <c r="A1" s="5" t="inlineStr">
        <is>
          <t>Regulatory Pathways: Cost vs Claim Strength</t>
        </is>
      </c>
    </row>
    <row r="3">
      <c r="A3" s="2" t="inlineStr">
        <is>
          <t>Pathway</t>
        </is>
      </c>
      <c r="B3" s="2" t="inlineStr">
        <is>
          <t>Development Cost (m)</t>
        </is>
      </c>
      <c r="C3" s="2" t="inlineStr">
        <is>
          <t>Time to Market (Years)</t>
        </is>
      </c>
      <c r="D3" s="2" t="inlineStr">
        <is>
          <t>Claim Strength (1-10)</t>
        </is>
      </c>
    </row>
    <row r="4">
      <c r="A4" s="3" t="inlineStr">
        <is>
          <t>Feed Material</t>
        </is>
      </c>
      <c r="B4" s="3" t="n">
        <v>0.05</v>
      </c>
      <c r="C4" s="3" t="n">
        <v>0.5</v>
      </c>
      <c r="D4" s="3" t="n">
        <v>1</v>
      </c>
    </row>
    <row r="5">
      <c r="A5" s="3" t="inlineStr">
        <is>
          <t>Feed Additive</t>
        </is>
      </c>
      <c r="B5" s="3" t="n">
        <v>1.5</v>
      </c>
      <c r="C5" s="3" t="n">
        <v>2</v>
      </c>
      <c r="D5" s="3" t="n">
        <v>5</v>
      </c>
    </row>
    <row r="6">
      <c r="A6" s="3" t="inlineStr">
        <is>
          <t>Veterinary Drug</t>
        </is>
      </c>
      <c r="B6" s="3" t="n">
        <v>150</v>
      </c>
      <c r="C6" s="3" t="n">
        <v>7</v>
      </c>
      <c r="D6" s="3" t="n">
        <v>10</v>
      </c>
    </row>
    <row r="8">
      <c r="A8" s="6" t="inlineStr">
        <is>
          <t>Source: Internal Regulatory Logic Model.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C8" sqref="C8"/>
    </sheetView>
  </sheetViews>
  <sheetFormatPr baseColWidth="10" defaultColWidth="8.83203125" defaultRowHeight="15"/>
  <cols>
    <col width="20.6640625" customWidth="1" min="1" max="2"/>
  </cols>
  <sheetData>
    <row r="1" ht="19" customHeight="1">
      <c r="A1" s="5" t="inlineStr">
        <is>
          <t>Total Addressable Market (TAM) Reconciliation (2024)</t>
        </is>
      </c>
    </row>
    <row r="3">
      <c r="A3" s="2" t="inlineStr">
        <is>
          <t>Segment</t>
        </is>
      </c>
      <c r="B3" s="2" t="inlineStr">
        <is>
          <t>Value (bn)</t>
        </is>
      </c>
    </row>
    <row r="4">
      <c r="A4" s="3" t="inlineStr">
        <is>
          <t>Total Addressable Market (TAM)</t>
        </is>
      </c>
      <c r="B4" s="3" t="n">
        <v>123</v>
      </c>
    </row>
    <row r="5">
      <c r="A5" s="3" t="inlineStr">
        <is>
          <t>Serviceable Addressable Market (SAM)</t>
        </is>
      </c>
      <c r="B5" s="3" t="n">
        <v>13</v>
      </c>
    </row>
    <row r="6">
      <c r="A6" s="3" t="inlineStr">
        <is>
          <t>Serviceable Obtainable Market (SOM)</t>
        </is>
      </c>
      <c r="B6" s="3" t="n">
        <v>0.25</v>
      </c>
    </row>
    <row r="8">
      <c r="A8" s="6" t="inlineStr">
        <is>
          <t>Source: Grand View Research (2024), Euromonitor (2024).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4"/>
  </cols>
  <sheetData>
    <row r="1" ht="19" customHeight="1">
      <c r="A1" s="5" t="inlineStr">
        <is>
          <t>The Innovation-Premium Matrix: R&amp;D Intensity vs Margins</t>
        </is>
      </c>
    </row>
    <row r="3">
      <c r="A3" s="2" t="inlineStr">
        <is>
          <t>Company</t>
        </is>
      </c>
      <c r="B3" s="2" t="inlineStr">
        <is>
          <t>R&amp;D Intensity (%)</t>
        </is>
      </c>
      <c r="C3" s="2" t="inlineStr">
        <is>
          <t>EBITDA Margin (%)</t>
        </is>
      </c>
      <c r="D3" s="2" t="inlineStr">
        <is>
          <t>Sector</t>
        </is>
      </c>
    </row>
    <row r="4">
      <c r="A4" s="3" t="inlineStr">
        <is>
          <t>Novonesis</t>
        </is>
      </c>
      <c r="B4" s="3" t="n">
        <v>10.8</v>
      </c>
      <c r="C4" s="3" t="n">
        <v>36.1</v>
      </c>
      <c r="D4" s="3" t="inlineStr">
        <is>
          <t>Pharma-Nutra</t>
        </is>
      </c>
    </row>
    <row r="5">
      <c r="A5" s="3" t="inlineStr">
        <is>
          <t>Zoetis</t>
        </is>
      </c>
      <c r="B5" s="3" t="n">
        <v>8</v>
      </c>
      <c r="C5" s="3" t="n">
        <v>38</v>
      </c>
      <c r="D5" s="3" t="inlineStr">
        <is>
          <t>Pharma-Nutra</t>
        </is>
      </c>
    </row>
    <row r="6">
      <c r="A6" s="3" t="inlineStr">
        <is>
          <t>Elanco</t>
        </is>
      </c>
      <c r="B6" s="3" t="n">
        <v>7.7</v>
      </c>
      <c r="C6" s="3" t="n">
        <v>20.5</v>
      </c>
      <c r="D6" s="3" t="inlineStr">
        <is>
          <t>Pharma-Nutra</t>
        </is>
      </c>
    </row>
    <row r="7">
      <c r="A7" s="3" t="inlineStr">
        <is>
          <t>Vetoquinol</t>
        </is>
      </c>
      <c r="B7" s="3" t="n">
        <v>8.1</v>
      </c>
      <c r="C7" s="3" t="n">
        <v>19.3</v>
      </c>
      <c r="D7" s="3" t="inlineStr">
        <is>
          <t>Pharma-Nutra</t>
        </is>
      </c>
    </row>
    <row r="8">
      <c r="A8" s="3" t="inlineStr">
        <is>
          <t>DSM-Firmenich</t>
        </is>
      </c>
      <c r="B8" s="3" t="n">
        <v>5.5</v>
      </c>
      <c r="C8" s="3" t="n">
        <v>16.5</v>
      </c>
      <c r="D8" s="3" t="inlineStr">
        <is>
          <t>Ingredient Tech</t>
        </is>
      </c>
    </row>
    <row r="9">
      <c r="A9" s="3" t="inlineStr">
        <is>
          <t>Virbac</t>
        </is>
      </c>
      <c r="B9" s="3" t="n">
        <v>8</v>
      </c>
      <c r="C9" s="3" t="n">
        <v>16</v>
      </c>
      <c r="D9" s="3" t="inlineStr">
        <is>
          <t>Pharma-Nutra</t>
        </is>
      </c>
    </row>
    <row r="10">
      <c r="A10" s="3" t="inlineStr">
        <is>
          <t>H&amp;H Group</t>
        </is>
      </c>
      <c r="B10" s="3" t="n">
        <v>1.8</v>
      </c>
      <c r="C10" s="3" t="n">
        <v>15</v>
      </c>
      <c r="D10" s="3" t="inlineStr">
        <is>
          <t>Brand/Consumer</t>
        </is>
      </c>
    </row>
    <row r="11">
      <c r="A11" s="3" t="inlineStr">
        <is>
          <t>Symrise (Pet)</t>
        </is>
      </c>
      <c r="B11" s="3" t="n">
        <v>6.5</v>
      </c>
      <c r="C11" s="3" t="n">
        <v>22.2</v>
      </c>
      <c r="D11" s="3" t="inlineStr">
        <is>
          <t>Ingredient Tech</t>
        </is>
      </c>
    </row>
    <row r="12">
      <c r="A12" s="3" t="inlineStr">
        <is>
          <t>Phibro</t>
        </is>
      </c>
      <c r="B12" s="3" t="n">
        <v>2.9</v>
      </c>
      <c r="C12" s="3" t="n">
        <v>11</v>
      </c>
      <c r="D12" s="3" t="inlineStr">
        <is>
          <t>Feed/Health</t>
        </is>
      </c>
    </row>
    <row r="13">
      <c r="A13" s="3" t="inlineStr">
        <is>
          <t>ForFarmers</t>
        </is>
      </c>
      <c r="B13" s="3" t="n">
        <v>0.8</v>
      </c>
      <c r="C13" s="3" t="n">
        <v>4</v>
      </c>
      <c r="D13" s="3" t="inlineStr">
        <is>
          <t>Commodity Feed</t>
        </is>
      </c>
    </row>
    <row r="14">
      <c r="A14" s="3" t="inlineStr">
        <is>
          <t>Dechra</t>
        </is>
      </c>
      <c r="B14" s="3" t="n">
        <v>7.5</v>
      </c>
      <c r="C14" s="3" t="n">
        <v>22</v>
      </c>
      <c r="D14" s="3" t="inlineStr">
        <is>
          <t>Pharma-Nutra</t>
        </is>
      </c>
    </row>
    <row r="15">
      <c r="A15" s="3" t="inlineStr">
        <is>
          <t>Balchem</t>
        </is>
      </c>
      <c r="B15" s="3" t="n">
        <v>1.5</v>
      </c>
      <c r="C15" s="3" t="n">
        <v>7</v>
      </c>
      <c r="D15" s="3" t="inlineStr">
        <is>
          <t>Feed/Health</t>
        </is>
      </c>
    </row>
    <row r="16">
      <c r="A16" s="3" t="inlineStr">
        <is>
          <t>Givaudan</t>
        </is>
      </c>
      <c r="B16" s="3" t="n">
        <v>8</v>
      </c>
      <c r="C16" s="3" t="n">
        <v>24</v>
      </c>
      <c r="D16" s="3" t="inlineStr">
        <is>
          <t>Ingredient Tech</t>
        </is>
      </c>
    </row>
    <row r="17">
      <c r="A17" s="3" t="inlineStr">
        <is>
          <t>Swedencare</t>
        </is>
      </c>
      <c r="B17" s="3" t="n">
        <v>0.1</v>
      </c>
      <c r="C17" s="3" t="n">
        <v>22</v>
      </c>
      <c r="D17" s="3" t="inlineStr">
        <is>
          <t>Brand/Consumer</t>
        </is>
      </c>
    </row>
    <row r="18">
      <c r="A18" s="3" t="inlineStr">
        <is>
          <t>Aker BioMarine</t>
        </is>
      </c>
      <c r="B18" s="3" t="n">
        <v>0.5</v>
      </c>
      <c r="C18" s="3" t="n">
        <v>15</v>
      </c>
      <c r="D18" s="3" t="inlineStr">
        <is>
          <t>Ingredient Tech</t>
        </is>
      </c>
    </row>
    <row r="20">
      <c r="A20" s="6" t="inlineStr">
        <is>
          <t>Source: Annual Reports 2024/2025; Internal Analysis.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3"/>
  </cols>
  <sheetData>
    <row r="1" ht="19" customHeight="1">
      <c r="A1" s="5" t="inlineStr">
        <is>
          <t>Market Bifurcation: Structural Economics</t>
        </is>
      </c>
    </row>
    <row r="3">
      <c r="A3" s="2" t="inlineStr">
        <is>
          <t>Metric</t>
        </is>
      </c>
      <c r="B3" s="2" t="inlineStr">
        <is>
          <t>Pet (Emotional Economy)</t>
        </is>
      </c>
      <c r="C3" s="2" t="inlineStr">
        <is>
          <t>Livestock (ROI Economy)</t>
        </is>
      </c>
    </row>
    <row r="4">
      <c r="A4" s="3" t="inlineStr">
        <is>
          <t>R&amp;D Intensity</t>
        </is>
      </c>
      <c r="B4" s="3" t="n">
        <v>9</v>
      </c>
      <c r="C4" s="3" t="n">
        <v>2</v>
      </c>
    </row>
    <row r="5">
      <c r="A5" s="3" t="inlineStr">
        <is>
          <t>Gross Margin</t>
        </is>
      </c>
      <c r="B5" s="3" t="n">
        <v>7.5</v>
      </c>
      <c r="C5" s="3" t="n">
        <v>1.5</v>
      </c>
    </row>
    <row r="6">
      <c r="A6" s="3" t="inlineStr">
        <is>
          <t>Price Sensitivity (Inv)</t>
        </is>
      </c>
      <c r="B6" s="3" t="n">
        <v>8</v>
      </c>
      <c r="C6" s="3" t="n">
        <v>2</v>
      </c>
    </row>
    <row r="7">
      <c r="A7" s="3" t="inlineStr">
        <is>
          <t>Brand Loyalty</t>
        </is>
      </c>
      <c r="B7" s="3" t="n">
        <v>8.5</v>
      </c>
      <c r="C7" s="3" t="n">
        <v>4</v>
      </c>
    </row>
    <row r="9">
      <c r="A9" s="6" t="inlineStr">
        <is>
          <t>Source: Internal Strategy Analysis.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3"/>
  </cols>
  <sheetData>
    <row r="1" ht="19" customHeight="1">
      <c r="A1" s="5" t="inlineStr">
        <is>
          <t>Mobility Market: Efficacy vs Value</t>
        </is>
      </c>
    </row>
    <row r="3">
      <c r="A3" s="2" t="inlineStr">
        <is>
          <t>Ingredient</t>
        </is>
      </c>
      <c r="B3" s="2" t="inlineStr">
        <is>
          <t>Evidence Level (1-10)</t>
        </is>
      </c>
      <c r="C3" s="2" t="inlineStr">
        <is>
          <t>Est. Value (m)</t>
        </is>
      </c>
    </row>
    <row r="4">
      <c r="A4" s="3" t="inlineStr">
        <is>
          <t>Omega-3</t>
        </is>
      </c>
      <c r="B4" s="3" t="n">
        <v>9</v>
      </c>
      <c r="C4" s="3" t="n">
        <v>315</v>
      </c>
    </row>
    <row r="5">
      <c r="A5" s="3" t="inlineStr">
        <is>
          <t>UC-II Collagen</t>
        </is>
      </c>
      <c r="B5" s="3" t="n">
        <v>8</v>
      </c>
      <c r="C5" s="3" t="n">
        <v>51</v>
      </c>
    </row>
    <row r="6">
      <c r="A6" s="3" t="inlineStr">
        <is>
          <t>Eggshell Membrane</t>
        </is>
      </c>
      <c r="B6" s="3" t="n">
        <v>7</v>
      </c>
      <c r="C6" s="3" t="n">
        <v>16</v>
      </c>
    </row>
    <row r="7">
      <c r="A7" s="3" t="inlineStr">
        <is>
          <t>Green Lipped Mussel</t>
        </is>
      </c>
      <c r="B7" s="3" t="n">
        <v>7</v>
      </c>
      <c r="C7" s="3" t="n">
        <v>45</v>
      </c>
    </row>
    <row r="8">
      <c r="A8" s="3" t="inlineStr">
        <is>
          <t>Glucosamine/Chondroitin</t>
        </is>
      </c>
      <c r="B8" s="3" t="n">
        <v>5</v>
      </c>
      <c r="C8" s="3" t="n">
        <v>291</v>
      </c>
    </row>
    <row r="9">
      <c r="A9" s="3" t="inlineStr">
        <is>
          <t>MSM</t>
        </is>
      </c>
      <c r="B9" s="3" t="n">
        <v>4</v>
      </c>
      <c r="C9" s="3" t="n">
        <v>58</v>
      </c>
    </row>
    <row r="11">
      <c r="A11" s="6" t="inlineStr">
        <is>
          <t>Source: Internal Efficacy Analysis based on JAVMA/JVIM studies.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3"/>
  </cols>
  <sheetData>
    <row r="1" ht="19" customHeight="1">
      <c r="A1" s="5" t="inlineStr">
        <is>
          <t>Gut Health Market: Efficacy vs Value</t>
        </is>
      </c>
    </row>
    <row r="3">
      <c r="A3" s="2" t="inlineStr">
        <is>
          <t>Ingredient</t>
        </is>
      </c>
      <c r="B3" s="2" t="inlineStr">
        <is>
          <t>Evidence Level (1-10)</t>
        </is>
      </c>
      <c r="C3" s="2" t="inlineStr">
        <is>
          <t>Est. Value (m)</t>
        </is>
      </c>
    </row>
    <row r="4">
      <c r="A4" s="3" t="inlineStr">
        <is>
          <t>Probiotics (Specific)</t>
        </is>
      </c>
      <c r="B4" s="3" t="n">
        <v>9</v>
      </c>
      <c r="C4" s="3" t="n">
        <v>1590</v>
      </c>
    </row>
    <row r="5">
      <c r="A5" s="3" t="inlineStr">
        <is>
          <t>Prebiotics (MOS/FOS)</t>
        </is>
      </c>
      <c r="B5" s="3" t="n">
        <v>7</v>
      </c>
      <c r="C5" s="3" t="n">
        <v>157</v>
      </c>
    </row>
    <row r="6">
      <c r="A6" s="3" t="inlineStr">
        <is>
          <t>Synbiotics</t>
        </is>
      </c>
      <c r="B6" s="3" t="n">
        <v>7</v>
      </c>
      <c r="C6" s="3" t="n">
        <v>303</v>
      </c>
    </row>
    <row r="7">
      <c r="A7" s="3" t="inlineStr">
        <is>
          <t>Postbiotics/Butyrate</t>
        </is>
      </c>
      <c r="B7" s="3" t="n">
        <v>7</v>
      </c>
      <c r="C7" s="3" t="n">
        <v>173</v>
      </c>
    </row>
    <row r="8">
      <c r="A8" s="3" t="inlineStr">
        <is>
          <t>Organic Acids</t>
        </is>
      </c>
      <c r="B8" s="3" t="n">
        <v>7</v>
      </c>
      <c r="C8" s="3" t="n">
        <v>266</v>
      </c>
    </row>
    <row r="9">
      <c r="A9" s="3" t="inlineStr">
        <is>
          <t>Enzymes (Phytase)</t>
        </is>
      </c>
      <c r="B9" s="3" t="n">
        <v>9</v>
      </c>
      <c r="C9" s="3" t="n">
        <v>424</v>
      </c>
    </row>
    <row r="11">
      <c r="A11" s="6" t="inlineStr">
        <is>
          <t>Source: Internal Efficacy Analysis.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3"/>
  </cols>
  <sheetData>
    <row r="1" ht="19" customHeight="1">
      <c r="A1" s="5" t="inlineStr">
        <is>
          <t>Immunity Market: Efficacy vs Value</t>
        </is>
      </c>
    </row>
    <row r="3">
      <c r="A3" s="2" t="inlineStr">
        <is>
          <t>Ingredient</t>
        </is>
      </c>
      <c r="B3" s="2" t="inlineStr">
        <is>
          <t>Evidence Level (1-10)</t>
        </is>
      </c>
      <c r="C3" s="2" t="inlineStr">
        <is>
          <t>Est. Value (m)</t>
        </is>
      </c>
    </row>
    <row r="4">
      <c r="A4" s="3" t="inlineStr">
        <is>
          <t>Beta-glucans</t>
        </is>
      </c>
      <c r="B4" s="3" t="n">
        <v>7</v>
      </c>
      <c r="C4" s="3" t="n">
        <v>9</v>
      </c>
    </row>
    <row r="5">
      <c r="A5" s="3" t="inlineStr">
        <is>
          <t>Plasma/Colostrum</t>
        </is>
      </c>
      <c r="B5" s="3" t="n">
        <v>8</v>
      </c>
      <c r="C5" s="3" t="n">
        <v>533</v>
      </c>
    </row>
    <row r="6">
      <c r="A6" s="3" t="inlineStr">
        <is>
          <t>Nucleotides</t>
        </is>
      </c>
      <c r="B6" s="3" t="n">
        <v>7</v>
      </c>
      <c r="C6" s="3" t="n">
        <v>151</v>
      </c>
    </row>
    <row r="7">
      <c r="A7" s="3" t="inlineStr">
        <is>
          <t>Seaweed Polysaccharides</t>
        </is>
      </c>
      <c r="B7" s="3" t="n">
        <v>6</v>
      </c>
      <c r="C7" s="3" t="n">
        <v>1080</v>
      </c>
    </row>
    <row r="8">
      <c r="A8" s="3" t="inlineStr">
        <is>
          <t>Selenium/Vit E</t>
        </is>
      </c>
      <c r="B8" s="3" t="n">
        <v>7</v>
      </c>
      <c r="C8" s="3" t="n">
        <v>68</v>
      </c>
    </row>
    <row r="10">
      <c r="A10" s="6" t="inlineStr">
        <is>
          <t>Source: Internal Efficacy Analysis.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3"/>
  </cols>
  <sheetData>
    <row r="1" ht="19" customHeight="1">
      <c r="A1" s="5" t="inlineStr">
        <is>
          <t>Cognitive Health: Efficacy vs Value</t>
        </is>
      </c>
    </row>
    <row r="3">
      <c r="A3" s="2" t="inlineStr">
        <is>
          <t>Ingredient</t>
        </is>
      </c>
      <c r="B3" s="2" t="inlineStr">
        <is>
          <t>Evidence Level (1-10)</t>
        </is>
      </c>
      <c r="C3" s="2" t="inlineStr">
        <is>
          <t>Est. Value (m)</t>
        </is>
      </c>
    </row>
    <row r="4">
      <c r="A4" s="3" t="inlineStr">
        <is>
          <t>MCTs</t>
        </is>
      </c>
      <c r="B4" s="3" t="n">
        <v>9</v>
      </c>
      <c r="C4" s="3" t="n">
        <v>109</v>
      </c>
    </row>
    <row r="5">
      <c r="A5" s="3" t="inlineStr">
        <is>
          <t>DHA (Omega-3)</t>
        </is>
      </c>
      <c r="B5" s="3" t="n">
        <v>8</v>
      </c>
      <c r="C5" s="3" t="n">
        <v>85</v>
      </c>
    </row>
    <row r="6">
      <c r="A6" s="3" t="inlineStr">
        <is>
          <t>Antioxidants</t>
        </is>
      </c>
      <c r="B6" s="3" t="n">
        <v>8</v>
      </c>
      <c r="C6" s="3" t="n">
        <v>73</v>
      </c>
    </row>
    <row r="7">
      <c r="A7" s="3" t="inlineStr">
        <is>
          <t>Phosphatidylserine</t>
        </is>
      </c>
      <c r="B7" s="3" t="n">
        <v>5</v>
      </c>
      <c r="C7" s="3" t="n">
        <v>4</v>
      </c>
    </row>
    <row r="8">
      <c r="A8" s="3" t="inlineStr">
        <is>
          <t>SAMe</t>
        </is>
      </c>
      <c r="B8" s="3" t="n">
        <v>5</v>
      </c>
      <c r="C8" s="3" t="n">
        <v>24</v>
      </c>
    </row>
    <row r="9">
      <c r="A9" s="3" t="inlineStr">
        <is>
          <t>B Vitamins</t>
        </is>
      </c>
      <c r="B9" s="3" t="n">
        <v>5</v>
      </c>
      <c r="C9" s="3" t="n">
        <v>17</v>
      </c>
    </row>
    <row r="11">
      <c r="A11" s="6" t="inlineStr">
        <is>
          <t>Source: Internal Efficacy Analysis.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3"/>
  </cols>
  <sheetData>
    <row r="1" ht="19" customHeight="1">
      <c r="A1" s="5" t="inlineStr">
        <is>
          <t>Calming Sector: Efficacy vs Value</t>
        </is>
      </c>
    </row>
    <row r="3">
      <c r="A3" s="2" t="inlineStr">
        <is>
          <t>Ingredient</t>
        </is>
      </c>
      <c r="B3" s="2" t="inlineStr">
        <is>
          <t>Evidence Level (1-10)</t>
        </is>
      </c>
      <c r="C3" s="2" t="inlineStr">
        <is>
          <t>Est. Value (m)</t>
        </is>
      </c>
    </row>
    <row r="4">
      <c r="A4" s="3" t="inlineStr">
        <is>
          <t>L-Theanine</t>
        </is>
      </c>
      <c r="B4" s="3" t="n">
        <v>7</v>
      </c>
      <c r="C4" s="3" t="n">
        <v>12</v>
      </c>
    </row>
    <row r="5">
      <c r="A5" s="3" t="inlineStr">
        <is>
          <t>Alpha-Casozepine</t>
        </is>
      </c>
      <c r="B5" s="3" t="n">
        <v>7</v>
      </c>
      <c r="C5" s="3" t="n">
        <v>7</v>
      </c>
    </row>
    <row r="6">
      <c r="A6" s="3" t="inlineStr">
        <is>
          <t>Tryptophan</t>
        </is>
      </c>
      <c r="B6" s="3" t="n">
        <v>6</v>
      </c>
      <c r="C6" s="3" t="n">
        <v>19</v>
      </c>
    </row>
    <row r="7">
      <c r="A7" s="3" t="inlineStr">
        <is>
          <t>CBD/Hemp</t>
        </is>
      </c>
      <c r="B7" s="3" t="n">
        <v>6</v>
      </c>
      <c r="C7" s="3" t="n">
        <v>80</v>
      </c>
    </row>
    <row r="8">
      <c r="A8" s="3" t="inlineStr">
        <is>
          <t>Multi-Complexes</t>
        </is>
      </c>
      <c r="B8" s="3" t="n">
        <v>5</v>
      </c>
      <c r="C8" s="3" t="n">
        <v>121</v>
      </c>
    </row>
    <row r="10">
      <c r="A10" s="6" t="inlineStr">
        <is>
          <t>Source: Internal Efficacy Analysis.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3"/>
  </cols>
  <sheetData>
    <row r="1" ht="19" customHeight="1">
      <c r="A1" s="5" t="inlineStr">
        <is>
          <t>Performance/FCR: Efficacy vs Value</t>
        </is>
      </c>
    </row>
    <row r="3">
      <c r="A3" s="2" t="inlineStr">
        <is>
          <t>Ingredient</t>
        </is>
      </c>
      <c r="B3" s="2" t="inlineStr">
        <is>
          <t>Evidence Level (1-10)</t>
        </is>
      </c>
      <c r="C3" s="2" t="inlineStr">
        <is>
          <t>Est. Value (m)</t>
        </is>
      </c>
    </row>
    <row r="4">
      <c r="A4" s="3" t="inlineStr">
        <is>
          <t>Phytase</t>
        </is>
      </c>
      <c r="B4" s="3" t="n">
        <v>10</v>
      </c>
      <c r="C4" s="3" t="n">
        <v>145</v>
      </c>
    </row>
    <row r="5">
      <c r="A5" s="3" t="inlineStr">
        <is>
          <t>Xylanase</t>
        </is>
      </c>
      <c r="B5" s="3" t="n">
        <v>10</v>
      </c>
      <c r="C5" s="3" t="n">
        <v>242</v>
      </c>
    </row>
    <row r="6">
      <c r="A6" s="3" t="inlineStr">
        <is>
          <t>Protease</t>
        </is>
      </c>
      <c r="B6" s="3" t="n">
        <v>8</v>
      </c>
      <c r="C6" s="3" t="n">
        <v>48</v>
      </c>
    </row>
    <row r="7">
      <c r="A7" s="3" t="inlineStr">
        <is>
          <t>Phytogenics</t>
        </is>
      </c>
      <c r="B7" s="3" t="n">
        <v>7</v>
      </c>
      <c r="C7" s="3" t="n">
        <v>216</v>
      </c>
    </row>
    <row r="8">
      <c r="A8" s="3" t="inlineStr">
        <is>
          <t>Yeast Culture</t>
        </is>
      </c>
      <c r="B8" s="3" t="n">
        <v>7</v>
      </c>
      <c r="C8" s="3" t="n">
        <v>484</v>
      </c>
    </row>
    <row r="9">
      <c r="A9" s="3" t="inlineStr">
        <is>
          <t>Amino Acids</t>
        </is>
      </c>
      <c r="B9" s="3" t="n">
        <v>8</v>
      </c>
      <c r="C9" s="3" t="n">
        <v>291</v>
      </c>
    </row>
    <row r="11">
      <c r="A11" s="6" t="inlineStr">
        <is>
          <t>Source: Internal Efficacy Analysis.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3"/>
  </cols>
  <sheetData>
    <row r="1" ht="19" customHeight="1">
      <c r="A1" s="5" t="inlineStr">
        <is>
          <t>Immunity solutions build biological resilience for the post-antibiotic era.</t>
        </is>
      </c>
    </row>
    <row r="3">
      <c r="A3" s="2" t="inlineStr">
        <is>
          <t>Primary Species Group</t>
        </is>
      </c>
      <c r="B3" s="2" t="inlineStr">
        <is>
          <t>Mobility</t>
        </is>
      </c>
      <c r="C3" s="2" t="inlineStr">
        <is>
          <t>Behavior</t>
        </is>
      </c>
      <c r="D3" t="inlineStr">
        <is>
          <t>Gut/Immunity</t>
        </is>
      </c>
      <c r="E3" t="inlineStr">
        <is>
          <t>Performance/FCR</t>
        </is>
      </c>
      <c r="F3" t="inlineStr">
        <is>
          <t>Sustainability</t>
        </is>
      </c>
    </row>
    <row r="4">
      <c r="A4" s="3" t="inlineStr">
        <is>
          <t>Dogs</t>
        </is>
      </c>
      <c r="B4" s="3" t="n">
        <v>9</v>
      </c>
      <c r="C4" s="3" t="n">
        <v>7</v>
      </c>
      <c r="D4" t="n">
        <v>6</v>
      </c>
      <c r="E4" t="n">
        <v>2</v>
      </c>
      <c r="F4" t="n">
        <v>3</v>
      </c>
    </row>
    <row r="5">
      <c r="A5" s="3" t="inlineStr">
        <is>
          <t>Cats</t>
        </is>
      </c>
      <c r="B5" s="3" t="n">
        <v>7</v>
      </c>
      <c r="C5" s="3" t="n">
        <v>8</v>
      </c>
      <c r="D5" t="n">
        <v>6</v>
      </c>
      <c r="E5" t="n">
        <v>1</v>
      </c>
      <c r="F5" t="n">
        <v>2</v>
      </c>
    </row>
    <row r="6">
      <c r="A6" s="3" t="inlineStr">
        <is>
          <t>Poultry</t>
        </is>
      </c>
      <c r="B6" s="3" t="n">
        <v>1</v>
      </c>
      <c r="C6" s="3" t="n">
        <v>1</v>
      </c>
      <c r="D6" t="n">
        <v>8</v>
      </c>
      <c r="E6" t="n">
        <v>9</v>
      </c>
      <c r="F6" t="n">
        <v>7</v>
      </c>
    </row>
    <row r="7">
      <c r="A7" s="3" t="inlineStr">
        <is>
          <t>Swine</t>
        </is>
      </c>
      <c r="B7" s="3" t="n">
        <v>1</v>
      </c>
      <c r="C7" s="3" t="n">
        <v>1</v>
      </c>
      <c r="D7" t="n">
        <v>8</v>
      </c>
      <c r="E7" t="n">
        <v>8</v>
      </c>
      <c r="F7" t="n">
        <v>7</v>
      </c>
    </row>
    <row r="8">
      <c r="A8" t="inlineStr">
        <is>
          <t>Ruminants</t>
        </is>
      </c>
      <c r="B8" t="n">
        <v>2</v>
      </c>
      <c r="C8" t="n">
        <v>1</v>
      </c>
      <c r="D8" t="n">
        <v>7</v>
      </c>
      <c r="E8" t="n">
        <v>8</v>
      </c>
      <c r="F8" t="n">
        <v>9</v>
      </c>
    </row>
    <row r="9">
      <c r="A9" s="6" t="inlineStr">
        <is>
          <t>Aquaculture</t>
        </is>
      </c>
      <c r="B9" t="n">
        <v>1</v>
      </c>
      <c r="C9" t="n">
        <v>1</v>
      </c>
      <c r="D9" t="n">
        <v>7</v>
      </c>
      <c r="E9" t="n">
        <v>8</v>
      </c>
      <c r="F9" t="n">
        <v>8</v>
      </c>
    </row>
    <row r="11">
      <c r="A11" t="inlineStr">
        <is>
          <t>Source note</t>
        </is>
      </c>
      <c r="B11" t="inlineStr">
        <is>
          <t>Simplified synthesis from functional-segmentation model (Figure 18) and portfolio mapping (S116)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3"/>
  </cols>
  <sheetData>
    <row r="1" ht="19" customHeight="1">
      <c r="A1" s="5" t="inlineStr">
        <is>
          <t>Enzymes and yeast cultures drive Feed Conversion Ratios (FCR) in livestock.</t>
        </is>
      </c>
    </row>
    <row r="3">
      <c r="A3" s="2" t="inlineStr">
        <is>
          <t>Segment</t>
        </is>
      </c>
      <c r="B3" s="2" t="inlineStr">
        <is>
          <t>Total (USDm)</t>
        </is>
      </c>
      <c r="C3" s="2" t="inlineStr">
        <is>
          <t>Companion/Pet-led (USDm)</t>
        </is>
      </c>
      <c r="D3" t="inlineStr">
        <is>
          <t>Production/Livestock-led (USDm)</t>
        </is>
      </c>
    </row>
    <row r="4">
      <c r="A4" s="3" t="inlineStr">
        <is>
          <t>Mobility</t>
        </is>
      </c>
      <c r="B4" s="3" t="n">
        <v>776</v>
      </c>
      <c r="C4" s="3" t="n">
        <v>714</v>
      </c>
      <c r="D4" t="n">
        <v>62</v>
      </c>
    </row>
    <row r="5">
      <c r="A5" s="3" t="inlineStr">
        <is>
          <t>Cognition</t>
        </is>
      </c>
      <c r="B5" s="3" t="n">
        <v>312</v>
      </c>
      <c r="C5" s="3" t="n">
        <v>296</v>
      </c>
      <c r="D5" t="n">
        <v>16</v>
      </c>
    </row>
    <row r="6">
      <c r="A6" s="3" t="inlineStr">
        <is>
          <t>Behavior</t>
        </is>
      </c>
      <c r="B6" s="3" t="n">
        <v>239</v>
      </c>
      <c r="C6" s="3" t="n">
        <v>229</v>
      </c>
      <c r="D6" t="n">
        <v>10</v>
      </c>
    </row>
    <row r="7">
      <c r="A7" t="inlineStr">
        <is>
          <t>Gut Health</t>
        </is>
      </c>
      <c r="B7" t="n">
        <v>2913</v>
      </c>
      <c r="C7" t="n">
        <v>1311</v>
      </c>
      <c r="D7" t="n">
        <v>1602</v>
      </c>
    </row>
    <row r="8">
      <c r="A8" s="6" t="inlineStr">
        <is>
          <t>Immunity</t>
        </is>
      </c>
      <c r="B8" t="n">
        <v>1841</v>
      </c>
      <c r="C8" t="n">
        <v>1013</v>
      </c>
      <c r="D8" t="n">
        <v>828</v>
      </c>
    </row>
    <row r="9">
      <c r="A9" t="inlineStr">
        <is>
          <t>Performance/FCR</t>
        </is>
      </c>
      <c r="B9" t="n">
        <v>1426</v>
      </c>
      <c r="C9" t="n">
        <v>143</v>
      </c>
      <c r="D9" t="n">
        <v>1283</v>
      </c>
    </row>
    <row r="11">
      <c r="A11" t="inlineStr">
        <is>
          <t>Source note</t>
        </is>
      </c>
      <c r="B11" t="inlineStr">
        <is>
          <t>Totals from Figure 18; split shares from working model assumptions retained for simplified view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3"/>
  </cols>
  <sheetData>
    <row r="1" ht="19" customHeight="1">
      <c r="A1" s="5" t="inlineStr">
        <is>
          <t>Nutrigenomics: Efficacy vs Value</t>
        </is>
      </c>
    </row>
    <row r="3">
      <c r="A3" s="2" t="inlineStr">
        <is>
          <t>Strategy</t>
        </is>
      </c>
      <c r="B3" s="2" t="inlineStr">
        <is>
          <t>Evidence Level (1-10)</t>
        </is>
      </c>
      <c r="C3" s="2" t="inlineStr">
        <is>
          <t>Est. Value (m)</t>
        </is>
      </c>
    </row>
    <row r="4">
      <c r="A4" s="3" t="inlineStr">
        <is>
          <t>Biomarker Analysis</t>
        </is>
      </c>
      <c r="B4" s="3" t="n">
        <v>7</v>
      </c>
      <c r="C4" s="3" t="n">
        <v>148</v>
      </c>
    </row>
    <row r="5">
      <c r="A5" s="3" t="inlineStr">
        <is>
          <t>Nrf2 Activators</t>
        </is>
      </c>
      <c r="B5" s="3" t="n">
        <v>6</v>
      </c>
      <c r="C5" s="3" t="n">
        <v>48</v>
      </c>
    </row>
    <row r="6">
      <c r="A6" s="3" t="inlineStr">
        <is>
          <t>Genotypic Profiling</t>
        </is>
      </c>
      <c r="B6" s="3" t="n">
        <v>8</v>
      </c>
      <c r="C6" s="3" t="n">
        <v>526</v>
      </c>
    </row>
    <row r="7">
      <c r="A7" s="3" t="inlineStr">
        <is>
          <t>Vaccine Adjuvants</t>
        </is>
      </c>
      <c r="B7" s="3" t="n">
        <v>6</v>
      </c>
      <c r="C7" s="3" t="n">
        <v>73</v>
      </c>
    </row>
    <row r="9">
      <c r="A9" s="6" t="inlineStr">
        <is>
          <t>Source: Internal Efficacy Analysis.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3"/>
  </cols>
  <sheetData>
    <row r="1" ht="19" customHeight="1">
      <c r="A1" s="5" t="inlineStr">
        <is>
          <t>Delivery Systems: Maturity vs Value</t>
        </is>
      </c>
    </row>
    <row r="3">
      <c r="A3" s="2" t="inlineStr">
        <is>
          <t>Technology</t>
        </is>
      </c>
      <c r="B3" s="2" t="inlineStr">
        <is>
          <t>Tech Maturity (1-10)</t>
        </is>
      </c>
      <c r="C3" s="2" t="inlineStr">
        <is>
          <t>Est. Value (m)</t>
        </is>
      </c>
    </row>
    <row r="4">
      <c r="A4" s="3" t="inlineStr">
        <is>
          <t>Rumen Protection</t>
        </is>
      </c>
      <c r="B4" s="3" t="n">
        <v>8</v>
      </c>
      <c r="C4" s="3" t="n">
        <v>920</v>
      </c>
    </row>
    <row r="5">
      <c r="A5" s="3" t="inlineStr">
        <is>
          <t>Smart Boluses</t>
        </is>
      </c>
      <c r="B5" s="3" t="n">
        <v>7</v>
      </c>
      <c r="C5" s="3" t="n">
        <v>625</v>
      </c>
    </row>
    <row r="6">
      <c r="A6" s="3" t="inlineStr">
        <is>
          <t>Soft Chews</t>
        </is>
      </c>
      <c r="B6" s="3" t="n">
        <v>9</v>
      </c>
      <c r="C6" s="3" t="n">
        <v>593</v>
      </c>
    </row>
    <row r="7">
      <c r="A7" s="3" t="inlineStr">
        <is>
          <t>Aquafeed Coatings</t>
        </is>
      </c>
      <c r="B7" s="3" t="n">
        <v>8</v>
      </c>
      <c r="C7" s="3" t="n">
        <v>271</v>
      </c>
    </row>
    <row r="8">
      <c r="A8" s="3" t="inlineStr">
        <is>
          <t>Biofilm Probiotics</t>
        </is>
      </c>
      <c r="B8" s="3" t="n">
        <v>6</v>
      </c>
      <c r="C8" s="3" t="n">
        <v>40</v>
      </c>
    </row>
    <row r="10">
      <c r="A10" s="6" t="inlineStr">
        <is>
          <t>Source: Internal Technology Audit.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3"/>
  </cols>
  <sheetData>
    <row r="1" ht="19" customHeight="1">
      <c r="A1" s="5" t="inlineStr">
        <is>
          <t>Sustainability: Efficacy vs Value</t>
        </is>
      </c>
    </row>
    <row r="3">
      <c r="A3" s="2" t="inlineStr">
        <is>
          <t>Strategy</t>
        </is>
      </c>
      <c r="B3" s="2" t="inlineStr">
        <is>
          <t>Evidence Level (1-10)</t>
        </is>
      </c>
      <c r="C3" s="2" t="inlineStr">
        <is>
          <t>Est. Value (m)</t>
        </is>
      </c>
    </row>
    <row r="4">
      <c r="A4" s="3" t="inlineStr">
        <is>
          <t>Methane (Asparagopsis)</t>
        </is>
      </c>
      <c r="B4" s="3" t="n">
        <v>7</v>
      </c>
      <c r="C4" s="3" t="n">
        <v>6</v>
      </c>
    </row>
    <row r="5">
      <c r="A5" s="3" t="inlineStr">
        <is>
          <t>Methane (3-NOP)</t>
        </is>
      </c>
      <c r="B5" s="3" t="n">
        <v>9</v>
      </c>
      <c r="C5" s="3" t="n">
        <v>15</v>
      </c>
    </row>
    <row r="6">
      <c r="A6" s="3" t="inlineStr">
        <is>
          <t>P-Management (Phytase)</t>
        </is>
      </c>
      <c r="B6" s="3" t="n">
        <v>10</v>
      </c>
      <c r="C6" s="3" t="n">
        <v>155</v>
      </c>
    </row>
    <row r="7">
      <c r="A7" s="3" t="inlineStr">
        <is>
          <t>N-Efficiency (Protease)</t>
        </is>
      </c>
      <c r="B7" s="3" t="n">
        <v>8</v>
      </c>
      <c r="C7" s="3" t="n">
        <v>545</v>
      </c>
    </row>
    <row r="9">
      <c r="A9" s="6" t="inlineStr">
        <is>
          <t>Source: Internal Efficacy Analysis.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2"/>
  </cols>
  <sheetData>
    <row r="1" ht="19" customHeight="1">
      <c r="A1" s="5" t="inlineStr">
        <is>
          <t>Developed markets prioritize 'Value over Volume' in pet ownership trends.</t>
        </is>
      </c>
    </row>
    <row r="3">
      <c r="A3" s="2" t="inlineStr">
        <is>
          <t>Region</t>
        </is>
      </c>
      <c r="B3" s="2" t="inlineStr">
        <is>
          <t>Ownership Rate (%)</t>
        </is>
      </c>
    </row>
    <row r="4">
      <c r="A4" s="3" t="inlineStr">
        <is>
          <t>US</t>
        </is>
      </c>
      <c r="B4" s="3" t="n">
        <v>71</v>
      </c>
    </row>
    <row r="5">
      <c r="A5" s="3" t="inlineStr">
        <is>
          <t>Canada</t>
        </is>
      </c>
      <c r="B5" s="3" t="n">
        <v>60</v>
      </c>
    </row>
    <row r="6">
      <c r="A6" s="3" t="inlineStr">
        <is>
          <t>EU</t>
        </is>
      </c>
      <c r="B6" s="3" t="n">
        <v>49</v>
      </c>
    </row>
    <row r="7">
      <c r="A7" s="3" t="n"/>
      <c r="B7" s="3" t="n"/>
    </row>
    <row r="8">
      <c r="A8" s="3" t="inlineStr">
        <is>
          <t>Source: APPA (2024), FEDIAF (2024).</t>
        </is>
      </c>
      <c r="B8" s="3" t="n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6">
      <c r="A16" s="6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2"/>
  </cols>
  <sheetData>
    <row r="1" ht="19" customHeight="1">
      <c r="A1" s="5" t="inlineStr">
        <is>
          <t>European demographics show a structural dominance of the feline segment.</t>
        </is>
      </c>
    </row>
    <row r="3">
      <c r="A3" s="2" t="inlineStr">
        <is>
          <t>Species</t>
        </is>
      </c>
      <c r="B3" s="2" t="inlineStr">
        <is>
          <t>Population (m)</t>
        </is>
      </c>
    </row>
    <row r="4">
      <c r="A4" s="3" t="inlineStr">
        <is>
          <t>Cats</t>
        </is>
      </c>
      <c r="B4" s="3" t="n">
        <v>127</v>
      </c>
    </row>
    <row r="5">
      <c r="A5" s="3" t="inlineStr">
        <is>
          <t>Dogs</t>
        </is>
      </c>
      <c r="B5" s="3" t="n">
        <v>104</v>
      </c>
    </row>
    <row r="6">
      <c r="A6" s="3" t="inlineStr">
        <is>
          <t>Others</t>
        </is>
      </c>
      <c r="B6" s="3" t="n">
        <v>50</v>
      </c>
    </row>
    <row r="7">
      <c r="A7" s="3" t="n"/>
      <c r="B7" s="3" t="n"/>
    </row>
    <row r="8">
      <c r="A8" s="3" t="inlineStr">
        <is>
          <t>Source: FEDIAF Facts &amp; Figures 2024.</t>
        </is>
      </c>
      <c r="B8" s="3" t="n"/>
    </row>
    <row r="9">
      <c r="A9" s="3" t="n"/>
      <c r="B9" s="3" t="n"/>
    </row>
    <row r="10">
      <c r="A10" s="3" t="n"/>
      <c r="B10" s="3" t="n"/>
    </row>
    <row r="12">
      <c r="A12" s="6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2"/>
  </cols>
  <sheetData>
    <row r="1" ht="19" customHeight="1">
      <c r="A1" s="5" t="inlineStr">
        <is>
          <t>Household Pet Ownership Rate by Region</t>
        </is>
      </c>
    </row>
    <row r="3">
      <c r="A3" s="2" t="inlineStr">
        <is>
          <t>Region</t>
        </is>
      </c>
      <c r="B3" s="2" t="inlineStr">
        <is>
          <t>Ownership Rate (%)</t>
        </is>
      </c>
    </row>
    <row r="4">
      <c r="A4" s="3" t="inlineStr">
        <is>
          <t>US</t>
        </is>
      </c>
      <c r="B4" s="3" t="n">
        <v>71</v>
      </c>
    </row>
    <row r="5">
      <c r="A5" s="3" t="inlineStr">
        <is>
          <t>Canada</t>
        </is>
      </c>
      <c r="B5" s="3" t="n">
        <v>60</v>
      </c>
    </row>
    <row r="6">
      <c r="A6" s="3" t="inlineStr">
        <is>
          <t>EU</t>
        </is>
      </c>
      <c r="B6" s="3" t="n">
        <v>49</v>
      </c>
    </row>
    <row r="8">
      <c r="A8" s="6" t="inlineStr">
        <is>
          <t>Source: APPA (2024), FEDIAF (2024).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2"/>
  </cols>
  <sheetData>
    <row r="1" ht="19" customHeight="1">
      <c r="A1" s="5" t="inlineStr">
        <is>
          <t>EU Pet Population Structure</t>
        </is>
      </c>
    </row>
    <row r="3">
      <c r="A3" s="2" t="inlineStr">
        <is>
          <t>Species</t>
        </is>
      </c>
      <c r="B3" s="2" t="inlineStr">
        <is>
          <t>Population (m)</t>
        </is>
      </c>
    </row>
    <row r="4">
      <c r="A4" s="3" t="inlineStr">
        <is>
          <t>Cats</t>
        </is>
      </c>
      <c r="B4" s="3" t="n">
        <v>127</v>
      </c>
    </row>
    <row r="5">
      <c r="A5" s="3" t="inlineStr">
        <is>
          <t>Dogs</t>
        </is>
      </c>
      <c r="B5" s="3" t="n">
        <v>104</v>
      </c>
    </row>
    <row r="6">
      <c r="A6" s="3" t="inlineStr">
        <is>
          <t>Others</t>
        </is>
      </c>
      <c r="B6" s="3" t="n">
        <v>50</v>
      </c>
    </row>
    <row r="8">
      <c r="A8" s="6" t="inlineStr">
        <is>
          <t>Source: FEDIAF Facts &amp; Figures 2024.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2"/>
  </cols>
  <sheetData>
    <row r="1" ht="19" customHeight="1">
      <c r="A1" s="5" t="inlineStr">
        <is>
          <t>EU Pet Population Growth (2018-2023)</t>
        </is>
      </c>
    </row>
    <row r="3">
      <c r="A3" s="2" t="inlineStr">
        <is>
          <t>Species</t>
        </is>
      </c>
      <c r="B3" s="2" t="inlineStr">
        <is>
          <t>Growth 2018-2023 (%)</t>
        </is>
      </c>
    </row>
    <row r="4">
      <c r="A4" s="3" t="inlineStr">
        <is>
          <t>Cats</t>
        </is>
      </c>
      <c r="B4" s="3" t="n">
        <v>11</v>
      </c>
    </row>
    <row r="5">
      <c r="A5" s="3" t="inlineStr">
        <is>
          <t>Dogs</t>
        </is>
      </c>
      <c r="B5" s="3" t="n">
        <v>5</v>
      </c>
    </row>
    <row r="7">
      <c r="A7" s="6" t="inlineStr">
        <is>
          <t>Source: FEDIAF.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2"/>
  </cols>
  <sheetData>
    <row r="1" ht="19" customHeight="1">
      <c r="A1" s="5" t="inlineStr">
        <is>
          <t>Regional Market Size: Pet Nutraceuticals</t>
        </is>
      </c>
    </row>
    <row r="3">
      <c r="A3" s="2" t="inlineStr">
        <is>
          <t>Region</t>
        </is>
      </c>
      <c r="B3" s="2" t="inlineStr">
        <is>
          <t>Market Size (bn)</t>
        </is>
      </c>
    </row>
    <row r="4">
      <c r="A4" s="3" t="inlineStr">
        <is>
          <t>APAC</t>
        </is>
      </c>
      <c r="B4" s="3" t="n">
        <v>2.1</v>
      </c>
    </row>
    <row r="5">
      <c r="A5" s="3" t="inlineStr">
        <is>
          <t>Europe</t>
        </is>
      </c>
      <c r="B5" s="3" t="n">
        <v>1.7</v>
      </c>
    </row>
    <row r="6">
      <c r="A6" s="3" t="inlineStr">
        <is>
          <t>North America</t>
        </is>
      </c>
      <c r="B6" s="3" t="n">
        <v>1.1</v>
      </c>
    </row>
    <row r="7">
      <c r="A7" s="3" t="inlineStr">
        <is>
          <t>LATAM</t>
        </is>
      </c>
      <c r="B7" s="3" t="n">
        <v>0.8</v>
      </c>
    </row>
    <row r="8">
      <c r="A8" s="3" t="inlineStr">
        <is>
          <t>Rest of World</t>
        </is>
      </c>
      <c r="B8" s="3" t="n">
        <v>0.3</v>
      </c>
    </row>
    <row r="10">
      <c r="A10" s="6" t="inlineStr">
        <is>
          <t>Source: Grand View Research (2024 Estimates).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3"/>
  </cols>
  <sheetData>
    <row r="1" ht="19" customHeight="1">
      <c r="A1" s="5" t="inlineStr">
        <is>
          <t>Probiotics Market: Volume Share vs Revenue</t>
        </is>
      </c>
    </row>
    <row r="3">
      <c r="A3" s="2" t="inlineStr">
        <is>
          <t>Species</t>
        </is>
      </c>
      <c r="B3" s="2" t="inlineStr">
        <is>
          <t>Volume Share (%)</t>
        </is>
      </c>
      <c r="C3" s="2" t="inlineStr">
        <is>
          <t>Revenue (bn)</t>
        </is>
      </c>
    </row>
    <row r="4">
      <c r="A4" s="3" t="inlineStr">
        <is>
          <t>Poultry</t>
        </is>
      </c>
      <c r="B4" s="3" t="n">
        <v>60</v>
      </c>
      <c r="C4" s="3" t="n">
        <v>2.5</v>
      </c>
    </row>
    <row r="5">
      <c r="A5" s="3" t="inlineStr">
        <is>
          <t>Swine</t>
        </is>
      </c>
      <c r="B5" s="3" t="n">
        <v>25</v>
      </c>
      <c r="C5" s="3" t="n">
        <v>1</v>
      </c>
    </row>
    <row r="6">
      <c r="A6" s="3" t="inlineStr">
        <is>
          <t>Ruminant</t>
        </is>
      </c>
      <c r="B6" s="3" t="n">
        <v>10</v>
      </c>
      <c r="C6" s="3" t="n">
        <v>0.4</v>
      </c>
    </row>
    <row r="7">
      <c r="A7" s="3" t="inlineStr">
        <is>
          <t>Aqua</t>
        </is>
      </c>
      <c r="B7" s="3" t="n">
        <v>5</v>
      </c>
      <c r="C7" s="3" t="n">
        <v>0.2</v>
      </c>
    </row>
    <row r="9">
      <c r="A9" s="6" t="inlineStr">
        <is>
          <t>Source: Global Market Insights.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2"/>
  </cols>
  <sheetData>
    <row r="1" ht="19" customHeight="1">
      <c r="A1" s="5" t="inlineStr">
        <is>
          <t>Impact of HPAI: Cumulative Bird Losses</t>
        </is>
      </c>
    </row>
    <row r="3">
      <c r="A3" s="2" t="inlineStr">
        <is>
          <t>Year</t>
        </is>
      </c>
      <c r="B3" s="2" t="inlineStr">
        <is>
          <t>Bird Losses (m)</t>
        </is>
      </c>
    </row>
    <row r="4">
      <c r="A4" s="3" t="n">
        <v>2015</v>
      </c>
      <c r="B4" s="3" t="n">
        <v>5</v>
      </c>
    </row>
    <row r="5">
      <c r="A5" s="3" t="n">
        <v>2016</v>
      </c>
      <c r="B5" s="3" t="n">
        <v>8</v>
      </c>
    </row>
    <row r="6">
      <c r="A6" s="3" t="n">
        <v>2017</v>
      </c>
      <c r="B6" s="3" t="n">
        <v>10</v>
      </c>
    </row>
    <row r="7">
      <c r="A7" s="3" t="n">
        <v>2018</v>
      </c>
      <c r="B7" s="3" t="n">
        <v>12</v>
      </c>
    </row>
    <row r="8">
      <c r="A8" s="3" t="n">
        <v>2019</v>
      </c>
      <c r="B8" s="3" t="n">
        <v>15</v>
      </c>
    </row>
    <row r="9">
      <c r="A9" s="3" t="n">
        <v>2020</v>
      </c>
      <c r="B9" s="3" t="n">
        <v>25</v>
      </c>
    </row>
    <row r="10">
      <c r="A10" s="3" t="n">
        <v>2021</v>
      </c>
      <c r="B10" s="3" t="n">
        <v>35</v>
      </c>
    </row>
    <row r="11">
      <c r="A11" s="3" t="n">
        <v>2022</v>
      </c>
      <c r="B11" s="3" t="n">
        <v>40</v>
      </c>
    </row>
    <row r="12">
      <c r="A12" s="3" t="n">
        <v>2023</v>
      </c>
      <c r="B12" s="3" t="n">
        <v>45</v>
      </c>
    </row>
    <row r="13">
      <c r="A13" s="3" t="n">
        <v>2024</v>
      </c>
      <c r="B13" s="3" t="n">
        <v>50</v>
      </c>
    </row>
    <row r="15">
      <c r="A15" s="6" t="inlineStr">
        <is>
          <t>Source: WOAH WAHIS Situation Reports.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2"/>
  </cols>
  <sheetData>
    <row r="1" ht="19" customHeight="1">
      <c r="A1" s="5" t="inlineStr">
        <is>
          <t>EU Swine Herd Structural Decline (Index 2014=100)</t>
        </is>
      </c>
    </row>
    <row r="3">
      <c r="A3" s="2" t="inlineStr">
        <is>
          <t>Year</t>
        </is>
      </c>
      <c r="B3" s="2" t="inlineStr">
        <is>
          <t>EU Swine Herd Index</t>
        </is>
      </c>
    </row>
    <row r="4">
      <c r="A4" s="3" t="n">
        <v>2014</v>
      </c>
      <c r="B4" s="3" t="n">
        <v>100</v>
      </c>
    </row>
    <row r="5">
      <c r="A5" s="3" t="n">
        <v>2015</v>
      </c>
      <c r="B5" s="3" t="n">
        <v>99.19</v>
      </c>
    </row>
    <row r="6">
      <c r="A6" s="3" t="n">
        <v>2016</v>
      </c>
      <c r="B6" s="3" t="n">
        <v>98.38</v>
      </c>
    </row>
    <row r="7">
      <c r="A7" s="3" t="n">
        <v>2017</v>
      </c>
      <c r="B7" s="3" t="n">
        <v>97.56999999999999</v>
      </c>
    </row>
    <row r="8">
      <c r="A8" s="3" t="n">
        <v>2018</v>
      </c>
      <c r="B8" s="3" t="n">
        <v>96.76000000000001</v>
      </c>
    </row>
    <row r="9">
      <c r="A9" s="3" t="n">
        <v>2019</v>
      </c>
      <c r="B9" s="3" t="n">
        <v>95.95</v>
      </c>
    </row>
    <row r="10">
      <c r="A10" s="3" t="n">
        <v>2020</v>
      </c>
      <c r="B10" s="3" t="n">
        <v>95.14</v>
      </c>
    </row>
    <row r="11">
      <c r="A11" s="3" t="n">
        <v>2021</v>
      </c>
      <c r="B11" s="3" t="n">
        <v>94.33</v>
      </c>
    </row>
    <row r="12">
      <c r="A12" s="3" t="n">
        <v>2022</v>
      </c>
      <c r="B12" s="3" t="n">
        <v>93.52</v>
      </c>
    </row>
    <row r="13">
      <c r="A13" s="3" t="n">
        <v>2023</v>
      </c>
      <c r="B13" s="3" t="n">
        <v>92.70999999999999</v>
      </c>
    </row>
    <row r="14">
      <c r="A14" s="3" t="n">
        <v>2024</v>
      </c>
      <c r="B14" s="3" t="n">
        <v>91.90000000000001</v>
      </c>
    </row>
    <row r="16">
      <c r="A16" s="6" t="inlineStr">
        <is>
          <t>Source: Eurostat Livestock Statistics 2024.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2"/>
  </cols>
  <sheetData>
    <row r="1" ht="19" customHeight="1">
      <c r="A1" s="5" t="inlineStr">
        <is>
          <t>The 'Blue Transformation' drives industrialization and functional additive demand in aqua.</t>
        </is>
      </c>
    </row>
    <row r="3">
      <c r="A3" s="2" t="inlineStr">
        <is>
          <t>Species</t>
        </is>
      </c>
      <c r="B3" s="2" t="inlineStr">
        <is>
          <t>Production Volume (Million Tonnes)</t>
        </is>
      </c>
    </row>
    <row r="4">
      <c r="A4" s="3" t="inlineStr">
        <is>
          <t>Carp (Freshwater)</t>
        </is>
      </c>
      <c r="B4" s="3" t="n">
        <v>24</v>
      </c>
    </row>
    <row r="5">
      <c r="A5" s="3" t="inlineStr">
        <is>
          <t>Shrimp &amp; Prawns</t>
        </is>
      </c>
      <c r="B5" s="3" t="n">
        <v>9.199999999999999</v>
      </c>
    </row>
    <row r="6">
      <c r="A6" s="3" t="inlineStr">
        <is>
          <t>Tilapia</t>
        </is>
      </c>
      <c r="B6" s="3" t="n">
        <v>5.8</v>
      </c>
    </row>
    <row r="7">
      <c r="A7" s="3" t="inlineStr">
        <is>
          <t>Catfish</t>
        </is>
      </c>
      <c r="B7" s="3" t="n">
        <v>4.2</v>
      </c>
    </row>
    <row r="8">
      <c r="A8" s="3" t="inlineStr">
        <is>
          <t>Salmon (Marine)</t>
        </is>
      </c>
      <c r="B8" s="3" t="n">
        <v>3.5</v>
      </c>
    </row>
    <row r="9">
      <c r="A9" s="3" t="n"/>
      <c r="B9" s="3" t="n"/>
    </row>
    <row r="10">
      <c r="A10" s="3" t="inlineStr">
        <is>
          <t>Source: FAO SOFIA 2024 [S111].</t>
        </is>
      </c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20">
      <c r="A20" s="6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3"/>
  </cols>
  <sheetData>
    <row r="1" ht="19" customHeight="1">
      <c r="A1" s="5" t="inlineStr">
        <is>
          <t>Global protein production shifts favor poultry and aquaculture over ruminants.</t>
        </is>
      </c>
    </row>
    <row r="2"/>
    <row r="3">
      <c r="A3" s="2" t="inlineStr">
        <is>
          <t>Year</t>
        </is>
      </c>
      <c r="B3" s="2" t="inlineStr">
        <is>
          <t>Poultry</t>
        </is>
      </c>
      <c r="C3" s="2" t="inlineStr">
        <is>
          <t>Bovine</t>
        </is>
      </c>
      <c r="D3" t="inlineStr">
        <is>
          <t>Pigs</t>
        </is>
      </c>
      <c r="E3" t="inlineStr">
        <is>
          <t>Sheep/Goat</t>
        </is>
      </c>
    </row>
    <row r="4">
      <c r="A4" s="3" t="n">
        <v>2018</v>
      </c>
      <c r="B4" s="3" t="n">
        <v>100</v>
      </c>
      <c r="C4" s="3" t="n">
        <v>100</v>
      </c>
      <c r="D4" t="n">
        <v>100</v>
      </c>
      <c r="E4" t="n">
        <v>100</v>
      </c>
    </row>
    <row r="5">
      <c r="A5" s="3" t="n">
        <v>2019</v>
      </c>
      <c r="B5" s="3" t="n">
        <v>102.1</v>
      </c>
      <c r="C5" s="3" t="n">
        <v>98.95999999999999</v>
      </c>
      <c r="D5" t="n">
        <v>98.22</v>
      </c>
      <c r="E5" t="n">
        <v>97.90000000000001</v>
      </c>
    </row>
    <row r="6">
      <c r="A6" s="3" t="n">
        <v>2020</v>
      </c>
      <c r="B6" s="3" t="n">
        <v>104.2</v>
      </c>
      <c r="C6" s="3" t="n">
        <v>97.92</v>
      </c>
      <c r="D6" t="n">
        <v>96.44</v>
      </c>
      <c r="E6" t="n">
        <v>95.8</v>
      </c>
    </row>
    <row r="7">
      <c r="A7" s="3" t="n">
        <v>2021</v>
      </c>
      <c r="B7" s="3" t="n">
        <v>106.3</v>
      </c>
      <c r="C7" s="3" t="n">
        <v>96.88</v>
      </c>
      <c r="D7" t="n">
        <v>94.66</v>
      </c>
      <c r="E7" t="n">
        <v>93.7</v>
      </c>
    </row>
    <row r="8">
      <c r="A8" s="3" t="n">
        <v>2022</v>
      </c>
      <c r="B8" s="3" t="n">
        <v>108.4</v>
      </c>
      <c r="C8" s="3" t="n">
        <v>95.84</v>
      </c>
      <c r="D8" t="n">
        <v>92.88</v>
      </c>
      <c r="E8" t="n">
        <v>91.59999999999999</v>
      </c>
    </row>
    <row r="9">
      <c r="A9" s="3" t="n">
        <v>2023</v>
      </c>
      <c r="B9" s="3" t="n">
        <v>110.5</v>
      </c>
      <c r="C9" s="3" t="n">
        <v>94.8</v>
      </c>
      <c r="D9" t="n">
        <v>91.09999999999999</v>
      </c>
      <c r="E9" t="n">
        <v>89.5</v>
      </c>
    </row>
    <row r="10"/>
    <row r="11">
      <c r="A11" s="6" t="inlineStr">
        <is>
          <t>Source: FAO SOFIA 2024.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pageMargins left="0.7" right="0.7" top="0.75" bottom="0.75" header="0.3" footer="0.3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2"/>
  </cols>
  <sheetData>
    <row r="1" ht="19" customHeight="1">
      <c r="A1" s="5" t="inlineStr">
        <is>
          <t>Palatability and format dictate compliance, which becomes an efficacy proxy.</t>
        </is>
      </c>
    </row>
    <row r="3">
      <c r="A3" s="2" t="inlineStr">
        <is>
          <t>Format</t>
        </is>
      </c>
      <c r="B3" s="2" t="inlineStr">
        <is>
          <t>Dogs (%)</t>
        </is>
      </c>
      <c r="C3" t="inlineStr">
        <is>
          <t>Cats (%)</t>
        </is>
      </c>
      <c r="D3" t="inlineStr">
        <is>
          <t>Horses (%)</t>
        </is>
      </c>
    </row>
    <row r="4">
      <c r="A4" s="3" t="inlineStr">
        <is>
          <t>Chews/Treats</t>
        </is>
      </c>
      <c r="B4" s="3" t="n">
        <v>64</v>
      </c>
      <c r="C4" t="n">
        <v>15</v>
      </c>
      <c r="D4" t="n">
        <v>0</v>
      </c>
    </row>
    <row r="5">
      <c r="A5" s="3" t="inlineStr">
        <is>
          <t>Liquids/Pastes</t>
        </is>
      </c>
      <c r="B5" s="3" t="n">
        <v>10</v>
      </c>
      <c r="C5" t="n">
        <v>35</v>
      </c>
      <c r="D5" t="n">
        <v>25</v>
      </c>
    </row>
    <row r="6">
      <c r="A6" t="inlineStr">
        <is>
          <t>Pills/Powders</t>
        </is>
      </c>
      <c r="B6" t="n">
        <v>26</v>
      </c>
      <c r="C6" t="n">
        <v>50</v>
      </c>
      <c r="D6" t="n">
        <v>75</v>
      </c>
    </row>
    <row r="7">
      <c r="A7" s="6" t="n"/>
    </row>
    <row r="8">
      <c r="A8" t="inlineStr">
        <is>
          <t>Source: Grand View Research.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4"/>
  </cols>
  <sheetData>
    <row r="1" ht="19" customHeight="1">
      <c r="A1" s="5" t="inlineStr">
        <is>
          <t>High-spending households drive the majority of revenue in pet wellness.</t>
        </is>
      </c>
    </row>
    <row r="3">
      <c r="A3" s="2" t="inlineStr">
        <is>
          <t>Segment</t>
        </is>
      </c>
      <c r="B3" s="2" t="inlineStr">
        <is>
          <t>Households (%)</t>
        </is>
      </c>
      <c r="C3" s="2" t="inlineStr">
        <is>
          <t>Revenue (%)</t>
        </is>
      </c>
      <c r="D3" s="2" t="n"/>
    </row>
    <row r="4">
      <c r="A4" s="3" t="inlineStr">
        <is>
          <t>Prem (Spare No Expense)</t>
        </is>
      </c>
      <c r="B4" s="3" t="n">
        <v>20</v>
      </c>
      <c r="C4" s="3" t="n">
        <v>48</v>
      </c>
      <c r="D4" s="3" t="n"/>
    </row>
    <row r="5">
      <c r="A5" s="3" t="inlineStr">
        <is>
          <t>Value (Pragmatic)</t>
        </is>
      </c>
      <c r="B5" s="3" t="n">
        <v>50</v>
      </c>
      <c r="C5" s="3" t="n">
        <v>42</v>
      </c>
      <c r="D5" s="3" t="n"/>
    </row>
    <row r="6">
      <c r="A6" s="3" t="inlineStr">
        <is>
          <t>Basic (Price Sensitive)</t>
        </is>
      </c>
      <c r="B6" s="3" t="n">
        <v>30</v>
      </c>
      <c r="C6" s="3" t="n">
        <v>10</v>
      </c>
      <c r="D6" s="3" t="n"/>
    </row>
    <row r="8">
      <c r="A8" s="6" t="inlineStr">
        <is>
          <t>Source: Internal Customer Segmentation.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2"/>
  </cols>
  <sheetData>
    <row r="1" ht="19" customHeight="1">
      <c r="A1" s="5" t="inlineStr">
        <is>
          <t>Nutraceuticals have captured a dominant share of the preventive wallet.</t>
        </is>
      </c>
    </row>
    <row r="3">
      <c r="A3" s="2" t="inlineStr">
        <is>
          <t>Category</t>
        </is>
      </c>
      <c r="B3" s="2" t="inlineStr">
        <is>
          <t>Share of Wallet (%)</t>
        </is>
      </c>
    </row>
    <row r="4">
      <c r="A4" s="3" t="inlineStr">
        <is>
          <t>Food</t>
        </is>
      </c>
      <c r="B4" s="3" t="n">
        <v>40</v>
      </c>
    </row>
    <row r="5">
      <c r="A5" s="3" t="inlineStr">
        <is>
          <t>Vet Care</t>
        </is>
      </c>
      <c r="B5" s="3" t="n">
        <v>25</v>
      </c>
    </row>
    <row r="6">
      <c r="A6" s="3" t="inlineStr">
        <is>
          <t>Supplements</t>
        </is>
      </c>
      <c r="B6" s="3" t="n">
        <v>15</v>
      </c>
    </row>
    <row r="7">
      <c r="A7" s="3" t="inlineStr">
        <is>
          <t>Toys/Access</t>
        </is>
      </c>
      <c r="B7" s="3" t="n">
        <v>10</v>
      </c>
    </row>
    <row r="8">
      <c r="A8" s="3" t="inlineStr">
        <is>
          <t>Services</t>
        </is>
      </c>
      <c r="B8" s="3" t="n">
        <v>10</v>
      </c>
    </row>
    <row r="10">
      <c r="A10" s="6" t="inlineStr">
        <is>
          <t>Source: APPA 2025.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3"/>
  </cols>
  <sheetData>
    <row r="1" ht="19" customHeight="1">
      <c r="A1" s="5" t="inlineStr">
        <is>
          <t>Consumer Segmentation: The Pareto Effect</t>
        </is>
      </c>
    </row>
    <row r="3">
      <c r="A3" s="2" t="inlineStr">
        <is>
          <t>Segment</t>
        </is>
      </c>
      <c r="B3" s="2" t="inlineStr">
        <is>
          <t>Households (%)</t>
        </is>
      </c>
      <c r="C3" s="2" t="inlineStr">
        <is>
          <t>Revenue (%)</t>
        </is>
      </c>
    </row>
    <row r="4">
      <c r="A4" s="3" t="inlineStr">
        <is>
          <t>Prem (Spare No Expense)</t>
        </is>
      </c>
      <c r="B4" s="3" t="n">
        <v>20</v>
      </c>
      <c r="C4" s="3" t="n">
        <v>48</v>
      </c>
    </row>
    <row r="5">
      <c r="A5" s="3" t="inlineStr">
        <is>
          <t>Value (Pragmatic)</t>
        </is>
      </c>
      <c r="B5" s="3" t="n">
        <v>50</v>
      </c>
      <c r="C5" s="3" t="n">
        <v>42</v>
      </c>
    </row>
    <row r="6">
      <c r="A6" s="3" t="inlineStr">
        <is>
          <t>Basic (Price Sensitive)</t>
        </is>
      </c>
      <c r="B6" s="3" t="n">
        <v>30</v>
      </c>
      <c r="C6" s="3" t="n">
        <v>10</v>
      </c>
    </row>
    <row r="8">
      <c r="A8" s="6" t="inlineStr">
        <is>
          <t>Source: Internal Customer Segmentation.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2"/>
  </cols>
  <sheetData>
    <row r="1" ht="19" customHeight="1">
      <c r="A1" s="5" t="inlineStr">
        <is>
          <t>Psychological Drivers of Purchase</t>
        </is>
      </c>
    </row>
    <row r="3">
      <c r="A3" s="2" t="inlineStr">
        <is>
          <t>Driver</t>
        </is>
      </c>
      <c r="B3" s="2" t="inlineStr">
        <is>
          <t>Impact Score (%)</t>
        </is>
      </c>
    </row>
    <row r="4">
      <c r="A4" s="3" t="inlineStr">
        <is>
          <t>Fear of Loss / Regret</t>
        </is>
      </c>
      <c r="B4" s="3" t="n">
        <v>50</v>
      </c>
    </row>
    <row r="5">
      <c r="A5" s="3" t="inlineStr">
        <is>
          <t>Love / Bonding</t>
        </is>
      </c>
      <c r="B5" s="3" t="n">
        <v>30</v>
      </c>
    </row>
    <row r="6">
      <c r="A6" s="3" t="inlineStr">
        <is>
          <t>Duty / Responsibility</t>
        </is>
      </c>
      <c r="B6" s="3" t="n">
        <v>20</v>
      </c>
    </row>
    <row r="8">
      <c r="A8" s="6" t="inlineStr">
        <is>
          <t>Source: Nicotra et al. (2025).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5"/>
  </cols>
  <sheetData>
    <row r="1" ht="19" customHeight="1">
      <c r="A1" s="5" t="inlineStr">
        <is>
          <t>Category premiumization evolves from generic actives to IP-backed solutions.</t>
        </is>
      </c>
    </row>
    <row r="2"/>
    <row r="3">
      <c r="A3" s="2" t="inlineStr">
        <is>
          <t>Year</t>
        </is>
      </c>
      <c r="B3" s="2" t="inlineStr">
        <is>
          <t>Generic</t>
        </is>
      </c>
      <c r="C3" s="2" t="inlineStr">
        <is>
          <t>UC-II</t>
        </is>
      </c>
      <c r="D3" s="2" t="inlineStr">
        <is>
          <t>GLM</t>
        </is>
      </c>
      <c r="E3" s="2" t="inlineStr">
        <is>
          <t>Premium</t>
        </is>
      </c>
    </row>
    <row r="4">
      <c r="A4" s="3" t="n">
        <v>2015</v>
      </c>
      <c r="B4" s="3" t="n">
        <v>70</v>
      </c>
      <c r="C4" s="3" t="n">
        <v>5</v>
      </c>
      <c r="D4" s="3" t="n">
        <v>15</v>
      </c>
      <c r="E4" s="3" t="n">
        <v>10</v>
      </c>
    </row>
    <row r="5">
      <c r="A5" s="3" t="n">
        <v>2020</v>
      </c>
      <c r="B5" s="3" t="n">
        <v>60</v>
      </c>
      <c r="C5" s="3" t="n">
        <v>15</v>
      </c>
      <c r="D5" s="3" t="n">
        <v>15</v>
      </c>
      <c r="E5" s="3" t="n">
        <v>10</v>
      </c>
    </row>
    <row r="6">
      <c r="A6" s="3" t="n">
        <v>2024</v>
      </c>
      <c r="B6" s="3" t="n">
        <v>45</v>
      </c>
      <c r="C6" s="3" t="n">
        <v>25</v>
      </c>
      <c r="D6" s="3" t="n">
        <v>18</v>
      </c>
      <c r="E6" s="3" t="n">
        <v>12</v>
      </c>
    </row>
    <row r="7">
      <c r="A7" s="3" t="n">
        <v>2030</v>
      </c>
      <c r="B7" s="3" t="n">
        <v>35</v>
      </c>
      <c r="C7" s="3" t="n">
        <v>30</v>
      </c>
      <c r="D7" s="3" t="n">
        <v>20</v>
      </c>
      <c r="E7" s="3" t="n">
        <v>15</v>
      </c>
    </row>
    <row r="8"/>
    <row r="9">
      <c r="A9" s="6" t="inlineStr">
        <is>
          <t>Source: NBJ 2023.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pageMargins left="0.7" right="0.7" top="0.75" bottom="0.75" header="0.3" footer="0.3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2"/>
  </cols>
  <sheetData>
    <row r="1" ht="19" customHeight="1">
      <c r="A1" s="5" t="inlineStr">
        <is>
          <t>Pharma Integration Funnel (Relative Integration Potential)</t>
        </is>
      </c>
    </row>
    <row r="2">
      <c r="B2" t="inlineStr">
        <is>
          <t>Relative Integration Potential (Index, Trial = 100)</t>
        </is>
      </c>
    </row>
    <row r="3">
      <c r="A3" s="2" t="inlineStr">
        <is>
          <t>Year</t>
        </is>
      </c>
      <c r="B3" s="2" t="inlineStr">
        <is>
          <t>Senior Wellness Market Index</t>
        </is>
      </c>
    </row>
    <row r="4">
      <c r="A4" s="3" t="n">
        <v>2015</v>
      </c>
      <c r="B4" s="3" t="n">
        <v>5</v>
      </c>
    </row>
    <row r="5">
      <c r="A5" s="3" t="n">
        <v>2024</v>
      </c>
      <c r="B5" s="3" t="n">
        <v>12</v>
      </c>
    </row>
    <row r="6">
      <c r="A6" s="3" t="n">
        <v>2030</v>
      </c>
      <c r="B6" s="3" t="n">
        <v>20</v>
      </c>
    </row>
    <row r="8">
      <c r="A8" s="6" t="inlineStr">
        <is>
          <t>Source: Internal Projections.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3"/>
  </cols>
  <sheetData>
    <row r="1" ht="19" customHeight="1">
      <c r="A1" s="5" t="inlineStr">
        <is>
          <t>Channel economics favor omnichannel dominance but penalize pure-play DTC.</t>
        </is>
      </c>
    </row>
    <row r="3">
      <c r="A3" s="2" t="inlineStr">
        <is>
          <t>Year</t>
        </is>
      </c>
      <c r="B3" s="2" t="inlineStr">
        <is>
          <t>Vet Channel Net Margin (%)</t>
        </is>
      </c>
      <c r="C3" s="2" t="n"/>
    </row>
    <row r="4">
      <c r="A4" s="3" t="n">
        <v>2010</v>
      </c>
      <c r="B4" s="3" t="n">
        <v>25</v>
      </c>
      <c r="C4" s="3" t="n"/>
    </row>
    <row r="5">
      <c r="A5" s="3" t="n">
        <v>2015</v>
      </c>
      <c r="B5" s="3" t="n">
        <v>23</v>
      </c>
      <c r="C5" s="3" t="n"/>
    </row>
    <row r="6">
      <c r="A6" s="3" t="n">
        <v>2019</v>
      </c>
      <c r="B6" s="3" t="n">
        <v>20</v>
      </c>
      <c r="C6" s="3" t="n"/>
    </row>
    <row r="7">
      <c r="A7" t="n">
        <v>2024</v>
      </c>
      <c r="B7" t="n">
        <v>18</v>
      </c>
    </row>
    <row r="8">
      <c r="A8" s="6" t="n"/>
    </row>
    <row r="9">
      <c r="A9" t="inlineStr">
        <is>
          <t>Source: Industry Interviews.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2"/>
  </cols>
  <sheetData>
    <row r="1" ht="19" customHeight="1">
      <c r="A1" s="5" t="inlineStr">
        <is>
          <t>Vet Channel Margin Erosion (Due to E-Comm)</t>
        </is>
      </c>
    </row>
    <row r="3">
      <c r="A3" s="2" t="inlineStr">
        <is>
          <t>Year</t>
        </is>
      </c>
      <c r="B3" s="2" t="inlineStr">
        <is>
          <t>Vet Channel Net Margin (%)</t>
        </is>
      </c>
    </row>
    <row r="4">
      <c r="A4" s="3" t="n">
        <v>2010</v>
      </c>
      <c r="B4" s="3" t="n">
        <v>25</v>
      </c>
    </row>
    <row r="5">
      <c r="A5" s="3" t="n">
        <v>2015</v>
      </c>
      <c r="B5" s="3" t="n">
        <v>23</v>
      </c>
    </row>
    <row r="6">
      <c r="A6" s="3" t="n">
        <v>2019</v>
      </c>
      <c r="B6" s="3" t="n">
        <v>20</v>
      </c>
    </row>
    <row r="7">
      <c r="A7" s="3" t="n">
        <v>2024</v>
      </c>
      <c r="B7" s="3" t="n">
        <v>18</v>
      </c>
    </row>
    <row r="9">
      <c r="A9" s="6" t="inlineStr">
        <is>
          <t>Source: Industry Interviews.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3"/>
  </cols>
  <sheetData>
    <row r="1" ht="19" customHeight="1">
      <c r="A1" s="5" t="inlineStr">
        <is>
          <t>Value Waterfall: Livestock vs Pet Cost Structure</t>
        </is>
      </c>
    </row>
    <row r="3">
      <c r="A3" s="2" t="inlineStr">
        <is>
          <t>Cost Component</t>
        </is>
      </c>
      <c r="B3" s="2" t="inlineStr">
        <is>
          <t>Livestock Premix ($50)</t>
        </is>
      </c>
      <c r="C3" s="2" t="inlineStr">
        <is>
          <t>Pet Supplement ($50)</t>
        </is>
      </c>
    </row>
    <row r="4">
      <c r="A4" s="3" t="inlineStr">
        <is>
          <t>Raw Material</t>
        </is>
      </c>
      <c r="B4" s="3" t="n">
        <v>30</v>
      </c>
      <c r="C4" s="3" t="n">
        <v>10</v>
      </c>
    </row>
    <row r="5">
      <c r="A5" s="3" t="inlineStr">
        <is>
          <t>Manufacturing</t>
        </is>
      </c>
      <c r="B5" s="3" t="n">
        <v>10</v>
      </c>
      <c r="C5" s="3" t="n">
        <v>15</v>
      </c>
    </row>
    <row r="6">
      <c r="A6" s="3" t="inlineStr">
        <is>
          <t>Logistics/Mktg</t>
        </is>
      </c>
      <c r="B6" s="3" t="n">
        <v>8</v>
      </c>
      <c r="C6" s="3" t="n">
        <v>15</v>
      </c>
    </row>
    <row r="7">
      <c r="A7" s="3" t="inlineStr">
        <is>
          <t>Net Margin</t>
        </is>
      </c>
      <c r="B7" s="3" t="n">
        <v>2</v>
      </c>
      <c r="C7" s="3" t="n">
        <v>10</v>
      </c>
    </row>
    <row r="9">
      <c r="A9" s="6" t="inlineStr">
        <is>
          <t>Source: Internal Pricing Models.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3"/>
  </cols>
  <sheetData>
    <row r="1" ht="19" customHeight="1">
      <c r="A1" s="5" t="inlineStr">
        <is>
          <t>Risk/Reward Map: Size vs Margin</t>
        </is>
      </c>
    </row>
    <row r="3">
      <c r="A3" s="2" t="inlineStr">
        <is>
          <t>Segment</t>
        </is>
      </c>
      <c r="B3" s="2" t="inlineStr">
        <is>
          <t>Market Size (bn)</t>
        </is>
      </c>
      <c r="C3" s="2" t="inlineStr">
        <is>
          <t>EBITDA Margin (%)</t>
        </is>
      </c>
    </row>
    <row r="4">
      <c r="A4" s="3" t="inlineStr">
        <is>
          <t>Pet Brands</t>
        </is>
      </c>
      <c r="B4" s="3" t="n">
        <v>6</v>
      </c>
      <c r="C4" s="3" t="n">
        <v>22</v>
      </c>
    </row>
    <row r="5">
      <c r="A5" s="3" t="inlineStr">
        <is>
          <t>Livestock Premix</t>
        </is>
      </c>
      <c r="B5" s="3" t="n">
        <v>8</v>
      </c>
      <c r="C5" s="3" t="n">
        <v>10</v>
      </c>
    </row>
    <row r="6">
      <c r="A6" s="3" t="inlineStr">
        <is>
          <t>Ingredients (IP)</t>
        </is>
      </c>
      <c r="B6" s="3" t="n">
        <v>2</v>
      </c>
      <c r="C6" s="3" t="n">
        <v>25</v>
      </c>
    </row>
    <row r="7">
      <c r="A7" s="3" t="inlineStr">
        <is>
          <t>Commodities</t>
        </is>
      </c>
      <c r="B7" s="3" t="n">
        <v>5</v>
      </c>
      <c r="C7" s="3" t="n">
        <v>6</v>
      </c>
    </row>
    <row r="9">
      <c r="A9" s="6" t="inlineStr">
        <is>
          <t>Source: Strategic Categorization.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2"/>
  </cols>
  <sheetData>
    <row r="1" ht="19" customHeight="1">
      <c r="A1" s="5" t="inlineStr">
        <is>
          <t>The Pharma Integration Funnel</t>
        </is>
      </c>
    </row>
    <row r="3">
      <c r="A3" s="2" t="inlineStr">
        <is>
          <t>Funnel Stage</t>
        </is>
      </c>
      <c r="B3" s="2" t="inlineStr">
        <is>
          <t>Customer Volume (Index)</t>
        </is>
      </c>
    </row>
    <row r="4">
      <c r="A4" s="3" t="inlineStr">
        <is>
          <t>OTC Trial (Nutraceutical)</t>
        </is>
      </c>
      <c r="B4" s="3" t="n">
        <v>100</v>
      </c>
    </row>
    <row r="5">
      <c r="A5" s="3" t="inlineStr">
        <is>
          <t>Regular User</t>
        </is>
      </c>
      <c r="B5" s="3" t="n">
        <v>40</v>
      </c>
    </row>
    <row r="6">
      <c r="A6" s="3" t="inlineStr">
        <is>
          <t>Rx Conversion</t>
        </is>
      </c>
      <c r="B6" s="3" t="n">
        <v>10</v>
      </c>
    </row>
    <row r="8">
      <c r="A8" s="6" t="inlineStr">
        <is>
          <t>Source: Customer Journey Mapping.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selection activeCell="B21" sqref="B21"/>
    </sheetView>
  </sheetViews>
  <sheetFormatPr baseColWidth="10" defaultColWidth="8.83203125" defaultRowHeight="15"/>
  <cols>
    <col width="20.6640625" customWidth="1" min="1" max="2"/>
  </cols>
  <sheetData>
    <row r="1" ht="19" customHeight="1">
      <c r="A1" s="5" t="inlineStr">
        <is>
          <t>2024 Competitive Landscape: Revenue Scale Comparison</t>
        </is>
      </c>
    </row>
    <row r="3">
      <c r="A3" s="2" t="inlineStr">
        <is>
          <t>Company</t>
        </is>
      </c>
      <c r="B3" s="2" t="inlineStr">
        <is>
          <t>Estimated 2024 Revenue (USD Billions)</t>
        </is>
      </c>
      <c r="C3" t="inlineStr">
        <is>
          <t>Segment</t>
        </is>
      </c>
    </row>
    <row r="4">
      <c r="A4" s="3" t="inlineStr">
        <is>
          <t>Nestlé Purina</t>
        </is>
      </c>
      <c r="B4" s="3" t="n">
        <v>22.4</v>
      </c>
      <c r="C4" t="inlineStr">
        <is>
          <t>Pet Food &amp; CPG</t>
        </is>
      </c>
    </row>
    <row r="5">
      <c r="A5" s="3" t="inlineStr">
        <is>
          <t>Mars Petcare</t>
        </is>
      </c>
      <c r="B5" s="3" t="n">
        <v>22</v>
      </c>
      <c r="C5" t="inlineStr">
        <is>
          <t>Pet Food &amp; CPG</t>
        </is>
      </c>
    </row>
    <row r="6">
      <c r="A6" s="3" t="inlineStr">
        <is>
          <t>Hill's</t>
        </is>
      </c>
      <c r="B6" s="3" t="n">
        <v>4.4</v>
      </c>
      <c r="C6" t="inlineStr">
        <is>
          <t>Pet Food &amp; CPG</t>
        </is>
      </c>
    </row>
    <row r="7">
      <c r="A7" s="3" t="inlineStr">
        <is>
          <t>Blue Buffalo</t>
        </is>
      </c>
      <c r="B7" s="3" t="n">
        <v>2.3</v>
      </c>
      <c r="C7" t="inlineStr">
        <is>
          <t>Pet Food &amp; CPG</t>
        </is>
      </c>
    </row>
    <row r="8">
      <c r="A8" s="3" t="inlineStr">
        <is>
          <t>Zoetis</t>
        </is>
      </c>
      <c r="B8" s="3" t="n">
        <v>9.300000000000001</v>
      </c>
      <c r="C8" t="inlineStr">
        <is>
          <t>Pharma &amp; Animal Health</t>
        </is>
      </c>
    </row>
    <row r="9">
      <c r="A9" t="inlineStr">
        <is>
          <t>Merck AH</t>
        </is>
      </c>
      <c r="B9" t="n">
        <v>5.9</v>
      </c>
      <c r="C9" t="inlineStr">
        <is>
          <t>Pharma &amp; Animal Health</t>
        </is>
      </c>
    </row>
    <row r="10">
      <c r="A10" t="inlineStr">
        <is>
          <t>Boehringer Ingelheim</t>
        </is>
      </c>
      <c r="B10" t="n">
        <v>5</v>
      </c>
      <c r="C10" t="inlineStr">
        <is>
          <t>Pharma &amp; Animal Health</t>
        </is>
      </c>
    </row>
    <row r="11">
      <c r="A11" t="inlineStr">
        <is>
          <t>Elanco</t>
        </is>
      </c>
      <c r="B11" t="n">
        <v>4.4</v>
      </c>
      <c r="C11" t="inlineStr">
        <is>
          <t>Pharma &amp; Animal Health</t>
        </is>
      </c>
    </row>
    <row r="12">
      <c r="A12" t="inlineStr">
        <is>
          <t>DSM-Firmenich</t>
        </is>
      </c>
      <c r="B12" t="n">
        <v>3.6</v>
      </c>
      <c r="C12" t="inlineStr">
        <is>
          <t>Feed &amp; Specialty Inputs</t>
        </is>
      </c>
    </row>
    <row r="13">
      <c r="A13" t="inlineStr">
        <is>
          <t>Novonesis</t>
        </is>
      </c>
      <c r="B13" t="n">
        <v>2.5</v>
      </c>
      <c r="C13" t="inlineStr">
        <is>
          <t>Feed &amp; Specialty Inputs</t>
        </is>
      </c>
    </row>
    <row r="14">
      <c r="A14" t="inlineStr">
        <is>
          <t>Phibro</t>
        </is>
      </c>
      <c r="B14" t="n">
        <v>1.4</v>
      </c>
      <c r="C14" t="inlineStr">
        <is>
          <t>Feed &amp; Specialty Inputs</t>
        </is>
      </c>
    </row>
    <row r="16">
      <c r="A16" t="inlineStr">
        <is>
          <t>Source: Zoetis 10-K [S115]; DSM-Firmenich Annual [S117]; Swedencare Annual [S118]; Virbac Annual [S119]; Dechra Annual [S120].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5"/>
  </cols>
  <sheetData>
    <row r="1" ht="19" customHeight="1">
      <c r="A1" s="5" t="inlineStr">
        <is>
          <t>Capability matrix across the Continuum of Care.</t>
        </is>
      </c>
    </row>
    <row r="3">
      <c r="A3" s="2" t="inlineStr">
        <is>
          <t>Capability</t>
        </is>
      </c>
      <c r="B3" s="2" t="inlineStr">
        <is>
          <t>Zoetis</t>
        </is>
      </c>
      <c r="C3" s="2" t="inlineStr">
        <is>
          <t>Merck AH</t>
        </is>
      </c>
      <c r="D3" s="2" t="inlineStr">
        <is>
          <t>Elanco</t>
        </is>
      </c>
      <c r="E3" s="2" t="inlineStr">
        <is>
          <t>DSM-Firmenich</t>
        </is>
      </c>
      <c r="F3" t="inlineStr">
        <is>
          <t>Mars Petcare</t>
        </is>
      </c>
      <c r="G3" t="inlineStr">
        <is>
          <t>Nestle Purina</t>
        </is>
      </c>
      <c r="H3" t="inlineStr">
        <is>
          <t>Hill's</t>
        </is>
      </c>
    </row>
    <row r="4">
      <c r="A4" s="3" t="inlineStr">
        <is>
          <t>Therapeutics (Rx)</t>
        </is>
      </c>
      <c r="B4" s="3" t="n">
        <v>1</v>
      </c>
      <c r="C4" s="3" t="n">
        <v>1</v>
      </c>
      <c r="D4" s="3" t="n">
        <v>1</v>
      </c>
      <c r="E4" s="3" t="n"/>
      <c r="H4" t="n">
        <v>0.5</v>
      </c>
    </row>
    <row r="5">
      <c r="A5" s="3" t="inlineStr">
        <is>
          <t>Vaccines</t>
        </is>
      </c>
      <c r="B5" s="3" t="n">
        <v>1</v>
      </c>
      <c r="C5" s="3" t="n">
        <v>1</v>
      </c>
      <c r="D5" s="3" t="n">
        <v>1</v>
      </c>
      <c r="E5" s="3" t="n"/>
    </row>
    <row r="6">
      <c r="A6" s="3" t="inlineStr">
        <is>
          <t>Feed Additives</t>
        </is>
      </c>
      <c r="B6" s="3" t="n"/>
      <c r="C6" s="3" t="n"/>
      <c r="D6" s="3" t="n">
        <v>1</v>
      </c>
      <c r="E6" s="3" t="n">
        <v>1</v>
      </c>
    </row>
    <row r="7">
      <c r="A7" s="3" t="inlineStr">
        <is>
          <t>Pet Supplements</t>
        </is>
      </c>
      <c r="B7" s="3" t="n">
        <v>1</v>
      </c>
      <c r="C7" s="3" t="n">
        <v>0.5</v>
      </c>
      <c r="D7" s="3" t="n">
        <v>1</v>
      </c>
      <c r="E7" s="3" t="n">
        <v>0.5</v>
      </c>
      <c r="F7" t="n">
        <v>0.5</v>
      </c>
      <c r="G7" t="n">
        <v>1</v>
      </c>
      <c r="H7" t="n">
        <v>0.5</v>
      </c>
    </row>
    <row r="8">
      <c r="A8" s="3" t="inlineStr">
        <is>
          <t>Pet Food (Diets)</t>
        </is>
      </c>
      <c r="B8" s="3" t="n"/>
      <c r="C8" s="3" t="n"/>
      <c r="D8" s="3" t="n"/>
      <c r="E8" s="3" t="n"/>
      <c r="F8" t="n">
        <v>1</v>
      </c>
      <c r="G8" t="n">
        <v>1</v>
      </c>
      <c r="H8" t="n">
        <v>1</v>
      </c>
    </row>
    <row r="9">
      <c r="A9" t="inlineStr">
        <is>
          <t>Diagnostics / Data</t>
        </is>
      </c>
      <c r="B9" t="n">
        <v>1</v>
      </c>
      <c r="C9" t="n">
        <v>1</v>
      </c>
      <c r="D9" t="n">
        <v>0.5</v>
      </c>
      <c r="E9" t="n">
        <v>0.5</v>
      </c>
      <c r="F9" t="n">
        <v>1</v>
      </c>
      <c r="H9" t="n">
        <v>0.5</v>
      </c>
    </row>
    <row r="10">
      <c r="A10" s="6" t="n"/>
    </row>
    <row r="11">
      <c r="A11" t="inlineStr">
        <is>
          <t>Source: Zoetis 10-K [S115]; DSM-Firmenich Annual [S117]; Swedencare Annual [S118]; Virbac Annual [S119]; Dechra Annual [S120].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2"/>
  </cols>
  <sheetData>
    <row r="1" ht="19" customHeight="1">
      <c r="A1" s="5" t="inlineStr">
        <is>
          <t>Pet category structure and disruption long-tail dynamics.</t>
        </is>
      </c>
    </row>
    <row r="3">
      <c r="A3" s="2" t="inlineStr">
        <is>
          <t>Company</t>
        </is>
      </c>
      <c r="B3" s="2" t="inlineStr">
        <is>
          <t>Share (%)</t>
        </is>
      </c>
    </row>
    <row r="4">
      <c r="A4" s="3" t="inlineStr">
        <is>
          <t>Nestlé Purina</t>
        </is>
      </c>
      <c r="B4" s="3" t="n">
        <v>24.6</v>
      </c>
    </row>
    <row r="5">
      <c r="A5" s="3" t="inlineStr">
        <is>
          <t>Mars Petcare</t>
        </is>
      </c>
      <c r="B5" s="3" t="n">
        <v>24.1</v>
      </c>
    </row>
    <row r="6">
      <c r="A6" s="3" t="inlineStr">
        <is>
          <t>Hill's</t>
        </is>
      </c>
      <c r="B6" s="3" t="n">
        <v>4.8</v>
      </c>
    </row>
    <row r="7">
      <c r="A7" s="3" t="inlineStr">
        <is>
          <t>Blue Buffalo (Gen Mills)</t>
        </is>
      </c>
      <c r="B7" s="3" t="n">
        <v>2.5</v>
      </c>
    </row>
    <row r="8">
      <c r="A8" s="3" t="inlineStr">
        <is>
          <t>Others (Fragmented)</t>
        </is>
      </c>
      <c r="B8" s="3" t="n">
        <v>43.9</v>
      </c>
    </row>
    <row r="10">
      <c r="A10" s="6" t="inlineStr">
        <is>
          <t>Source: Euromonitor 2024 [S105].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2"/>
  </cols>
  <sheetData>
    <row r="1" ht="19" customHeight="1">
      <c r="A1" s="5" t="inlineStr">
        <is>
          <t>The Margin Ladder: Value Capture by Step</t>
        </is>
      </c>
    </row>
    <row r="3">
      <c r="A3" s="2" t="inlineStr">
        <is>
          <t>Value Chain Step</t>
        </is>
      </c>
      <c r="B3" s="2" t="inlineStr">
        <is>
          <t>Est. EBITDA Margin (%)</t>
        </is>
      </c>
    </row>
    <row r="4">
      <c r="A4" s="3" t="inlineStr">
        <is>
          <t>Commodity Feed</t>
        </is>
      </c>
      <c r="B4" s="3" t="n">
        <v>4</v>
      </c>
    </row>
    <row r="5">
      <c r="A5" s="3" t="inlineStr">
        <is>
          <t>Specialty Premix</t>
        </is>
      </c>
      <c r="B5" s="3" t="n">
        <v>8</v>
      </c>
    </row>
    <row r="6">
      <c r="A6" s="3" t="inlineStr">
        <is>
          <t>Distributor</t>
        </is>
      </c>
      <c r="B6" s="3" t="n">
        <v>12</v>
      </c>
    </row>
    <row r="7">
      <c r="A7" s="3" t="inlineStr">
        <is>
          <t>Pet Retailer</t>
        </is>
      </c>
      <c r="B7" s="3" t="n">
        <v>15</v>
      </c>
    </row>
    <row r="8">
      <c r="A8" s="3" t="inlineStr">
        <is>
          <t>Pharma-Nutra Brand</t>
        </is>
      </c>
      <c r="B8" s="3" t="n">
        <v>25</v>
      </c>
    </row>
    <row r="10">
      <c r="A10" s="6" t="inlineStr">
        <is>
          <t>Source: Internal Margin Analysis.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3203125" defaultRowHeight="15"/>
  <cols>
    <col width="20.6640625" customWidth="1" min="1" max="3"/>
  </cols>
  <sheetData>
    <row r="1" ht="19" customHeight="1">
      <c r="A1" s="5" t="inlineStr">
        <is>
          <t>Strategic Matrix: Evidence vs Scale</t>
        </is>
      </c>
    </row>
    <row r="3">
      <c r="A3" s="2" t="inlineStr">
        <is>
          <t>Company</t>
        </is>
      </c>
      <c r="B3" s="2" t="inlineStr">
        <is>
          <t>Clinical Evidence Score (1-10)</t>
        </is>
      </c>
      <c r="C3" s="2" t="inlineStr">
        <is>
          <t>Commercial Scale Score (1-10)</t>
        </is>
      </c>
    </row>
    <row r="4">
      <c r="A4" s="3" t="inlineStr">
        <is>
          <t>Zoetis</t>
        </is>
      </c>
      <c r="B4" s="3" t="n">
        <v>9</v>
      </c>
      <c r="C4" s="3" t="n">
        <v>10</v>
      </c>
    </row>
    <row r="5">
      <c r="A5" s="3" t="inlineStr">
        <is>
          <t>Novonesis</t>
        </is>
      </c>
      <c r="B5" s="3" t="n">
        <v>9</v>
      </c>
      <c r="C5" s="3" t="n">
        <v>6</v>
      </c>
    </row>
    <row r="6">
      <c r="A6" s="3" t="inlineStr">
        <is>
          <t>Swedencare</t>
        </is>
      </c>
      <c r="B6" s="3" t="n">
        <v>7</v>
      </c>
      <c r="C6" s="3" t="n">
        <v>4</v>
      </c>
    </row>
    <row r="7">
      <c r="A7" s="3" t="inlineStr">
        <is>
          <t>DSM-Firmenich</t>
        </is>
      </c>
      <c r="B7" s="3" t="n">
        <v>8</v>
      </c>
      <c r="C7" s="3" t="n">
        <v>9</v>
      </c>
    </row>
    <row r="9">
      <c r="A9" s="6" t="inlineStr">
        <is>
          <t>Source: M&amp;A Database.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Global Corporate, Startup, and Investor Landscape (Regional Composite)</t>
        </is>
      </c>
    </row>
    <row r="3">
      <c r="A3" t="inlineStr">
        <is>
          <t>Region</t>
        </is>
      </c>
      <c r="B3" t="inlineStr">
        <is>
          <t>Category</t>
        </is>
      </c>
      <c r="C3" t="inlineStr">
        <is>
          <t>Entity</t>
        </is>
      </c>
    </row>
    <row r="4">
      <c r="A4" t="inlineStr">
        <is>
          <t>North America</t>
        </is>
      </c>
      <c r="B4" t="inlineStr">
        <is>
          <t>Corporates</t>
        </is>
      </c>
      <c r="C4" t="inlineStr">
        <is>
          <t>Zoetis</t>
        </is>
      </c>
    </row>
    <row r="5">
      <c r="A5" t="inlineStr">
        <is>
          <t>North America</t>
        </is>
      </c>
      <c r="B5" t="inlineStr">
        <is>
          <t>Corporates</t>
        </is>
      </c>
      <c r="C5" t="inlineStr">
        <is>
          <t>Elanco</t>
        </is>
      </c>
    </row>
    <row r="6">
      <c r="A6" t="inlineStr">
        <is>
          <t>North America</t>
        </is>
      </c>
      <c r="B6" t="inlineStr">
        <is>
          <t>Corporates</t>
        </is>
      </c>
      <c r="C6" t="inlineStr">
        <is>
          <t>Mars Petcare</t>
        </is>
      </c>
    </row>
    <row r="7">
      <c r="A7" t="inlineStr">
        <is>
          <t>North America</t>
        </is>
      </c>
      <c r="B7" t="inlineStr">
        <is>
          <t>Corporates</t>
        </is>
      </c>
      <c r="C7" t="inlineStr">
        <is>
          <t>General Mills (Blue Buffalo)</t>
        </is>
      </c>
    </row>
    <row r="8">
      <c r="A8" t="inlineStr">
        <is>
          <t>North America</t>
        </is>
      </c>
      <c r="B8" t="inlineStr">
        <is>
          <t>Corporates</t>
        </is>
      </c>
      <c r="C8" t="inlineStr">
        <is>
          <t>Purina (Nestlé)</t>
        </is>
      </c>
    </row>
    <row r="9">
      <c r="A9" t="inlineStr">
        <is>
          <t>North America</t>
        </is>
      </c>
      <c r="B9" t="inlineStr">
        <is>
          <t>Corporates</t>
        </is>
      </c>
      <c r="C9" t="inlineStr">
        <is>
          <t>Phibro Animal Health</t>
        </is>
      </c>
    </row>
    <row r="10">
      <c r="A10" t="inlineStr">
        <is>
          <t>North America</t>
        </is>
      </c>
      <c r="B10" t="inlineStr">
        <is>
          <t>Corporates</t>
        </is>
      </c>
      <c r="C10" t="inlineStr">
        <is>
          <t>Nutramax Laboratories</t>
        </is>
      </c>
    </row>
    <row r="11">
      <c r="A11" t="inlineStr">
        <is>
          <t>North America</t>
        </is>
      </c>
      <c r="B11" t="inlineStr">
        <is>
          <t>Corporates</t>
        </is>
      </c>
      <c r="C11" t="inlineStr">
        <is>
          <t>Merck Animal Health</t>
        </is>
      </c>
    </row>
    <row r="12">
      <c r="A12" t="inlineStr">
        <is>
          <t>North America</t>
        </is>
      </c>
      <c r="B12" t="inlineStr">
        <is>
          <t>Startups</t>
        </is>
      </c>
      <c r="C12" t="inlineStr">
        <is>
          <t>Native Pet</t>
        </is>
      </c>
    </row>
    <row r="13">
      <c r="A13" t="inlineStr">
        <is>
          <t>North America</t>
        </is>
      </c>
      <c r="B13" t="inlineStr">
        <is>
          <t>Startups</t>
        </is>
      </c>
      <c r="C13" t="inlineStr">
        <is>
          <t>Bond Pet Foods</t>
        </is>
      </c>
    </row>
    <row r="14">
      <c r="A14" t="inlineStr">
        <is>
          <t>North America</t>
        </is>
      </c>
      <c r="B14" t="inlineStr">
        <is>
          <t>Startups</t>
        </is>
      </c>
      <c r="C14" t="inlineStr">
        <is>
          <t>BiomEdit</t>
        </is>
      </c>
    </row>
    <row r="15">
      <c r="A15" t="inlineStr">
        <is>
          <t>North America</t>
        </is>
      </c>
      <c r="B15" t="inlineStr">
        <is>
          <t>Startups</t>
        </is>
      </c>
      <c r="C15" t="inlineStr">
        <is>
          <t>Loyal</t>
        </is>
      </c>
    </row>
    <row r="16">
      <c r="A16" t="inlineStr">
        <is>
          <t>North America</t>
        </is>
      </c>
      <c r="B16" t="inlineStr">
        <is>
          <t>Startups</t>
        </is>
      </c>
      <c r="C16" t="inlineStr">
        <is>
          <t>AnimalBiome</t>
        </is>
      </c>
    </row>
    <row r="17">
      <c r="A17" t="inlineStr">
        <is>
          <t>North America</t>
        </is>
      </c>
      <c r="B17" t="inlineStr">
        <is>
          <t>Startups</t>
        </is>
      </c>
      <c r="C17" t="inlineStr">
        <is>
          <t>Gallant</t>
        </is>
      </c>
    </row>
    <row r="18">
      <c r="A18" t="inlineStr">
        <is>
          <t>North America</t>
        </is>
      </c>
      <c r="B18" t="inlineStr">
        <is>
          <t>Startups</t>
        </is>
      </c>
      <c r="C18" t="inlineStr">
        <is>
          <t>Hoofprint Biome</t>
        </is>
      </c>
    </row>
    <row r="19">
      <c r="A19" t="inlineStr">
        <is>
          <t>North America</t>
        </is>
      </c>
      <c r="B19" t="inlineStr">
        <is>
          <t>Startups</t>
        </is>
      </c>
      <c r="C19" t="inlineStr">
        <is>
          <t>Wild Earth</t>
        </is>
      </c>
    </row>
    <row r="20">
      <c r="A20" t="inlineStr">
        <is>
          <t>North America</t>
        </is>
      </c>
      <c r="B20" t="inlineStr">
        <is>
          <t>Investors</t>
        </is>
      </c>
      <c r="C20" t="inlineStr">
        <is>
          <t>Ani.VC</t>
        </is>
      </c>
    </row>
    <row r="21">
      <c r="A21" t="inlineStr">
        <is>
          <t>North America</t>
        </is>
      </c>
      <c r="B21" t="inlineStr">
        <is>
          <t>Investors</t>
        </is>
      </c>
      <c r="C21" t="inlineStr">
        <is>
          <t>Digitalis Ventures</t>
        </is>
      </c>
    </row>
    <row r="22">
      <c r="A22" t="inlineStr">
        <is>
          <t>North America</t>
        </is>
      </c>
      <c r="B22" t="inlineStr">
        <is>
          <t>Investors</t>
        </is>
      </c>
      <c r="C22" t="inlineStr">
        <is>
          <t>S2G Investments</t>
        </is>
      </c>
    </row>
    <row r="23">
      <c r="A23" t="inlineStr">
        <is>
          <t>North America</t>
        </is>
      </c>
      <c r="B23" t="inlineStr">
        <is>
          <t>Investors</t>
        </is>
      </c>
      <c r="C23" t="inlineStr">
        <is>
          <t>Borealis Ventures</t>
        </is>
      </c>
    </row>
    <row r="24">
      <c r="A24" t="inlineStr">
        <is>
          <t>North America</t>
        </is>
      </c>
      <c r="B24" t="inlineStr">
        <is>
          <t>Investors</t>
        </is>
      </c>
      <c r="C24" t="inlineStr">
        <is>
          <t>MSCP (Morgan Stanley)</t>
        </is>
      </c>
    </row>
    <row r="25">
      <c r="A25" t="inlineStr">
        <is>
          <t>North America</t>
        </is>
      </c>
      <c r="B25" t="inlineStr">
        <is>
          <t>Investors</t>
        </is>
      </c>
      <c r="C25" t="inlineStr">
        <is>
          <t>Vestar Capital</t>
        </is>
      </c>
    </row>
    <row r="26">
      <c r="A26" t="inlineStr">
        <is>
          <t>North America</t>
        </is>
      </c>
      <c r="B26" t="inlineStr">
        <is>
          <t>Investors</t>
        </is>
      </c>
      <c r="C26" t="inlineStr">
        <is>
          <t>Cavallo Ventures</t>
        </is>
      </c>
    </row>
    <row r="27">
      <c r="A27" t="inlineStr">
        <is>
          <t>North America</t>
        </is>
      </c>
      <c r="B27" t="inlineStr">
        <is>
          <t>Investors</t>
        </is>
      </c>
      <c r="C27" t="inlineStr">
        <is>
          <t>Stray Dog Capital</t>
        </is>
      </c>
    </row>
    <row r="28">
      <c r="A28" t="inlineStr">
        <is>
          <t>North America</t>
        </is>
      </c>
      <c r="B28" t="inlineStr">
        <is>
          <t>Investors</t>
        </is>
      </c>
      <c r="C28" t="inlineStr">
        <is>
          <t>Gryphon Investors</t>
        </is>
      </c>
    </row>
    <row r="29">
      <c r="A29" t="inlineStr">
        <is>
          <t>UK</t>
        </is>
      </c>
      <c r="B29" t="inlineStr">
        <is>
          <t>Corporates</t>
        </is>
      </c>
      <c r="C29" t="inlineStr">
        <is>
          <t>Dechra</t>
        </is>
      </c>
    </row>
    <row r="30">
      <c r="A30" t="inlineStr">
        <is>
          <t>UK</t>
        </is>
      </c>
      <c r="B30" t="inlineStr">
        <is>
          <t>Corporates</t>
        </is>
      </c>
      <c r="C30" t="inlineStr">
        <is>
          <t>IVC Evidensia</t>
        </is>
      </c>
    </row>
    <row r="31">
      <c r="A31" t="inlineStr">
        <is>
          <t>UK</t>
        </is>
      </c>
      <c r="B31" t="inlineStr">
        <is>
          <t>Corporates</t>
        </is>
      </c>
      <c r="C31" t="inlineStr">
        <is>
          <t>Anpario</t>
        </is>
      </c>
    </row>
    <row r="32">
      <c r="A32" t="inlineStr">
        <is>
          <t>UK</t>
        </is>
      </c>
      <c r="B32" t="inlineStr">
        <is>
          <t>Corporates</t>
        </is>
      </c>
      <c r="C32" t="inlineStr">
        <is>
          <t>Eco Animal Health</t>
        </is>
      </c>
    </row>
    <row r="33">
      <c r="A33" t="inlineStr">
        <is>
          <t>UK</t>
        </is>
      </c>
      <c r="B33" t="inlineStr">
        <is>
          <t>Startups</t>
        </is>
      </c>
      <c r="C33" t="inlineStr">
        <is>
          <t>Biome9</t>
        </is>
      </c>
    </row>
    <row r="34">
      <c r="A34" t="inlineStr">
        <is>
          <t>UK</t>
        </is>
      </c>
      <c r="B34" t="inlineStr">
        <is>
          <t>Startups</t>
        </is>
      </c>
      <c r="C34" t="inlineStr">
        <is>
          <t>YuMOVE (Joint Supplements)</t>
        </is>
      </c>
    </row>
    <row r="35">
      <c r="A35" t="inlineStr">
        <is>
          <t>UK</t>
        </is>
      </c>
      <c r="B35" t="inlineStr">
        <is>
          <t>Investors</t>
        </is>
      </c>
      <c r="C35" t="inlineStr">
        <is>
          <t>Ocean 14 Capital</t>
        </is>
      </c>
    </row>
    <row r="36">
      <c r="A36" t="inlineStr">
        <is>
          <t>UK</t>
        </is>
      </c>
      <c r="B36" t="inlineStr">
        <is>
          <t>Investors</t>
        </is>
      </c>
      <c r="C36" t="inlineStr">
        <is>
          <t>Cinven</t>
        </is>
      </c>
    </row>
    <row r="37">
      <c r="A37" t="inlineStr">
        <is>
          <t>UK</t>
        </is>
      </c>
      <c r="B37" t="inlineStr">
        <is>
          <t>Investors</t>
        </is>
      </c>
      <c r="C37" t="inlineStr">
        <is>
          <t>Grosvenor Food &amp; AgTech</t>
        </is>
      </c>
    </row>
    <row r="38">
      <c r="A38" t="inlineStr">
        <is>
          <t>Europe</t>
        </is>
      </c>
      <c r="B38" t="inlineStr">
        <is>
          <t>Corporates</t>
        </is>
      </c>
      <c r="C38" t="inlineStr">
        <is>
          <t>DSM-Firmenich</t>
        </is>
      </c>
    </row>
    <row r="39">
      <c r="A39" t="inlineStr">
        <is>
          <t>Europe</t>
        </is>
      </c>
      <c r="B39" t="inlineStr">
        <is>
          <t>Corporates</t>
        </is>
      </c>
      <c r="C39" t="inlineStr">
        <is>
          <t>Novonesis</t>
        </is>
      </c>
    </row>
    <row r="40">
      <c r="A40" t="inlineStr">
        <is>
          <t>Europe</t>
        </is>
      </c>
      <c r="B40" t="inlineStr">
        <is>
          <t>Corporates</t>
        </is>
      </c>
      <c r="C40" t="inlineStr">
        <is>
          <t>Virbac</t>
        </is>
      </c>
    </row>
    <row r="41">
      <c r="A41" t="inlineStr">
        <is>
          <t>Europe</t>
        </is>
      </c>
      <c r="B41" t="inlineStr">
        <is>
          <t>Corporates</t>
        </is>
      </c>
      <c r="C41" t="inlineStr">
        <is>
          <t>Vetoquinol</t>
        </is>
      </c>
    </row>
    <row r="42">
      <c r="A42" t="inlineStr">
        <is>
          <t>Europe</t>
        </is>
      </c>
      <c r="B42" t="inlineStr">
        <is>
          <t>Corporates</t>
        </is>
      </c>
      <c r="C42" t="inlineStr">
        <is>
          <t>Symrise (Pet)</t>
        </is>
      </c>
    </row>
    <row r="43">
      <c r="A43" t="inlineStr">
        <is>
          <t>Europe</t>
        </is>
      </c>
      <c r="B43" t="inlineStr">
        <is>
          <t>Corporates</t>
        </is>
      </c>
      <c r="C43" t="inlineStr">
        <is>
          <t>Nutreco</t>
        </is>
      </c>
    </row>
    <row r="44">
      <c r="A44" t="inlineStr">
        <is>
          <t>Europe</t>
        </is>
      </c>
      <c r="B44" t="inlineStr">
        <is>
          <t>Corporates</t>
        </is>
      </c>
      <c r="C44" t="inlineStr">
        <is>
          <t>Boehringer Ingelheim</t>
        </is>
      </c>
    </row>
    <row r="45">
      <c r="A45" t="inlineStr">
        <is>
          <t>Europe</t>
        </is>
      </c>
      <c r="B45" t="inlineStr">
        <is>
          <t>Corporates</t>
        </is>
      </c>
      <c r="C45" t="inlineStr">
        <is>
          <t>Ceva Santé Animale</t>
        </is>
      </c>
    </row>
    <row r="46">
      <c r="A46" t="inlineStr">
        <is>
          <t>Europe</t>
        </is>
      </c>
      <c r="B46" t="inlineStr">
        <is>
          <t>Startups</t>
        </is>
      </c>
      <c r="C46" t="inlineStr">
        <is>
          <t>Veramaris</t>
        </is>
      </c>
    </row>
    <row r="47">
      <c r="A47" t="inlineStr">
        <is>
          <t>Europe</t>
        </is>
      </c>
      <c r="B47" t="inlineStr">
        <is>
          <t>Startups</t>
        </is>
      </c>
      <c r="C47" t="inlineStr">
        <is>
          <t>Innovafeed</t>
        </is>
      </c>
    </row>
    <row r="48">
      <c r="A48" t="inlineStr">
        <is>
          <t>Europe</t>
        </is>
      </c>
      <c r="B48" t="inlineStr">
        <is>
          <t>Startups</t>
        </is>
      </c>
      <c r="C48" t="inlineStr">
        <is>
          <t>MicroHarvest</t>
        </is>
      </c>
    </row>
    <row r="49">
      <c r="A49" t="inlineStr">
        <is>
          <t>Europe</t>
        </is>
      </c>
      <c r="B49" t="inlineStr">
        <is>
          <t>Startups</t>
        </is>
      </c>
      <c r="C49" t="inlineStr">
        <is>
          <t>Protix</t>
        </is>
      </c>
    </row>
    <row r="50">
      <c r="A50" t="inlineStr">
        <is>
          <t>Europe</t>
        </is>
      </c>
      <c r="B50" t="inlineStr">
        <is>
          <t>Startups</t>
        </is>
      </c>
      <c r="C50" t="inlineStr">
        <is>
          <t>Gnubiotics</t>
        </is>
      </c>
    </row>
    <row r="51">
      <c r="A51" t="inlineStr">
        <is>
          <t>Europe</t>
        </is>
      </c>
      <c r="B51" t="inlineStr">
        <is>
          <t>Startups</t>
        </is>
      </c>
      <c r="C51" t="inlineStr">
        <is>
          <t>Mootral</t>
        </is>
      </c>
    </row>
    <row r="52">
      <c r="A52" t="inlineStr">
        <is>
          <t>Europe</t>
        </is>
      </c>
      <c r="B52" t="inlineStr">
        <is>
          <t>Startups</t>
        </is>
      </c>
      <c r="C52" t="inlineStr">
        <is>
          <t>Mammaly</t>
        </is>
      </c>
    </row>
    <row r="53">
      <c r="A53" t="inlineStr">
        <is>
          <t>Europe</t>
        </is>
      </c>
      <c r="B53" t="inlineStr">
        <is>
          <t>Startups</t>
        </is>
      </c>
      <c r="C53" t="inlineStr">
        <is>
          <t>Proteon</t>
        </is>
      </c>
    </row>
    <row r="54">
      <c r="A54" t="inlineStr">
        <is>
          <t>Europe</t>
        </is>
      </c>
      <c r="B54" t="inlineStr">
        <is>
          <t>Investors</t>
        </is>
      </c>
      <c r="C54" t="inlineStr">
        <is>
          <t>EQT Group</t>
        </is>
      </c>
    </row>
    <row r="55">
      <c r="A55" t="inlineStr">
        <is>
          <t>Europe</t>
        </is>
      </c>
      <c r="B55" t="inlineStr">
        <is>
          <t>Investors</t>
        </is>
      </c>
      <c r="C55" t="inlineStr">
        <is>
          <t>Aqua-Spark</t>
        </is>
      </c>
    </row>
    <row r="56">
      <c r="A56" t="inlineStr">
        <is>
          <t>Europe</t>
        </is>
      </c>
      <c r="B56" t="inlineStr">
        <is>
          <t>Investors</t>
        </is>
      </c>
      <c r="C56" t="inlineStr">
        <is>
          <t>Anterra Capital</t>
        </is>
      </c>
    </row>
    <row r="57">
      <c r="A57" t="inlineStr">
        <is>
          <t>Europe</t>
        </is>
      </c>
      <c r="B57" t="inlineStr">
        <is>
          <t>Investors</t>
        </is>
      </c>
      <c r="C57" t="inlineStr">
        <is>
          <t>Five Seasons Ventures</t>
        </is>
      </c>
    </row>
    <row r="58">
      <c r="A58" t="inlineStr">
        <is>
          <t>Europe</t>
        </is>
      </c>
      <c r="B58" t="inlineStr">
        <is>
          <t>Investors</t>
        </is>
      </c>
      <c r="C58" t="inlineStr">
        <is>
          <t>Blue Horizon</t>
        </is>
      </c>
    </row>
    <row r="59">
      <c r="A59" t="inlineStr">
        <is>
          <t>Europe</t>
        </is>
      </c>
      <c r="B59" t="inlineStr">
        <is>
          <t>Investors</t>
        </is>
      </c>
      <c r="C59" t="inlineStr">
        <is>
          <t>Seventure Partners</t>
        </is>
      </c>
    </row>
    <row r="60">
      <c r="A60" t="inlineStr">
        <is>
          <t>APAC</t>
        </is>
      </c>
      <c r="B60" t="inlineStr">
        <is>
          <t>Corporates</t>
        </is>
      </c>
      <c r="C60" t="inlineStr">
        <is>
          <t>H&amp;H Group (Zesty Paws/Swisse)</t>
        </is>
      </c>
    </row>
    <row r="61">
      <c r="A61" t="inlineStr">
        <is>
          <t>APAC</t>
        </is>
      </c>
      <c r="B61" t="inlineStr">
        <is>
          <t>Corporates</t>
        </is>
      </c>
      <c r="C61" t="inlineStr">
        <is>
          <t>CP Foods</t>
        </is>
      </c>
    </row>
    <row r="62">
      <c r="A62" t="inlineStr">
        <is>
          <t>APAC</t>
        </is>
      </c>
      <c r="B62" t="inlineStr">
        <is>
          <t>Corporates</t>
        </is>
      </c>
      <c r="C62" t="inlineStr">
        <is>
          <t>Godrej Agrovet</t>
        </is>
      </c>
    </row>
    <row r="63">
      <c r="A63" t="inlineStr">
        <is>
          <t>APAC</t>
        </is>
      </c>
      <c r="B63" t="inlineStr">
        <is>
          <t>Corporates</t>
        </is>
      </c>
      <c r="C63" t="inlineStr">
        <is>
          <t>Gambol Pet Group</t>
        </is>
      </c>
    </row>
    <row r="64">
      <c r="A64" t="inlineStr">
        <is>
          <t>APAC</t>
        </is>
      </c>
      <c r="B64" t="inlineStr">
        <is>
          <t>Corporates</t>
        </is>
      </c>
      <c r="C64" t="inlineStr">
        <is>
          <t>New Hope Group</t>
        </is>
      </c>
    </row>
    <row r="65">
      <c r="A65" t="inlineStr">
        <is>
          <t>APAC</t>
        </is>
      </c>
      <c r="B65" t="inlineStr">
        <is>
          <t>Corporates</t>
        </is>
      </c>
      <c r="C65" t="inlineStr">
        <is>
          <t>SyAqua</t>
        </is>
      </c>
    </row>
    <row r="66">
      <c r="A66" t="inlineStr">
        <is>
          <t>APAC</t>
        </is>
      </c>
      <c r="B66" t="inlineStr">
        <is>
          <t>Startups</t>
        </is>
      </c>
      <c r="C66" t="inlineStr">
        <is>
          <t>Rumin8</t>
        </is>
      </c>
    </row>
    <row r="67">
      <c r="A67" t="inlineStr">
        <is>
          <t>APAC</t>
        </is>
      </c>
      <c r="B67" t="inlineStr">
        <is>
          <t>Startups</t>
        </is>
      </c>
      <c r="C67" t="inlineStr">
        <is>
          <t>Sea6 Energy</t>
        </is>
      </c>
    </row>
    <row r="68">
      <c r="A68" t="inlineStr">
        <is>
          <t>APAC</t>
        </is>
      </c>
      <c r="B68" t="inlineStr">
        <is>
          <t>Startups</t>
        </is>
      </c>
      <c r="C68" t="inlineStr">
        <is>
          <t>Biofeyn</t>
        </is>
      </c>
    </row>
    <row r="69">
      <c r="A69" t="inlineStr">
        <is>
          <t>APAC</t>
        </is>
      </c>
      <c r="B69" t="inlineStr">
        <is>
          <t>Startups</t>
        </is>
      </c>
      <c r="C69" t="inlineStr">
        <is>
          <t>Varkalah Farms</t>
        </is>
      </c>
    </row>
    <row r="70">
      <c r="A70" t="inlineStr">
        <is>
          <t>APAC</t>
        </is>
      </c>
      <c r="B70" t="inlineStr">
        <is>
          <t>Investors</t>
        </is>
      </c>
      <c r="C70" t="inlineStr">
        <is>
          <t>Temasek</t>
        </is>
      </c>
    </row>
    <row r="71">
      <c r="A71" t="inlineStr">
        <is>
          <t>APAC</t>
        </is>
      </c>
      <c r="B71" t="inlineStr">
        <is>
          <t>Investors</t>
        </is>
      </c>
      <c r="C71" t="inlineStr">
        <is>
          <t>ADM Capital</t>
        </is>
      </c>
    </row>
    <row r="72">
      <c r="A72" t="inlineStr">
        <is>
          <t>APAC</t>
        </is>
      </c>
      <c r="B72" t="inlineStr">
        <is>
          <t>Investors</t>
        </is>
      </c>
      <c r="C72" t="inlineStr">
        <is>
          <t>Openspace Ventures</t>
        </is>
      </c>
    </row>
    <row r="73">
      <c r="A73" t="inlineStr">
        <is>
          <t>LATAM</t>
        </is>
      </c>
      <c r="B73" t="inlineStr">
        <is>
          <t>Corporates</t>
        </is>
      </c>
      <c r="C73" t="inlineStr">
        <is>
          <t>JBS</t>
        </is>
      </c>
    </row>
    <row r="74">
      <c r="A74" t="inlineStr">
        <is>
          <t>LATAM</t>
        </is>
      </c>
      <c r="B74" t="inlineStr">
        <is>
          <t>Corporates</t>
        </is>
      </c>
      <c r="C74" t="inlineStr">
        <is>
          <t>BRF S.A.</t>
        </is>
      </c>
    </row>
    <row r="75">
      <c r="A75" t="inlineStr">
        <is>
          <t>LATAM</t>
        </is>
      </c>
      <c r="B75" t="inlineStr">
        <is>
          <t>Corporates</t>
        </is>
      </c>
      <c r="C75" t="inlineStr">
        <is>
          <t>PremieRpet</t>
        </is>
      </c>
    </row>
    <row r="76">
      <c r="A76" t="inlineStr">
        <is>
          <t>LATAM</t>
        </is>
      </c>
      <c r="B76" t="inlineStr">
        <is>
          <t>Investors</t>
        </is>
      </c>
      <c r="C76" t="inlineStr">
        <is>
          <t>SP Ventures</t>
        </is>
      </c>
    </row>
    <row r="78">
      <c r="A78" t="inlineStr">
        <is>
          <t>Source note</t>
        </is>
      </c>
      <c r="B78" t="inlineStr">
        <is>
          <t>In-repo portfolio mapping synthesis (S116) + map layer synthesis (S121)</t>
        </is>
      </c>
      <c r="C78" t="inlineStr">
        <is>
          <t>Generated from workbook tab data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Functional needs across companion and production species.</t>
        </is>
      </c>
    </row>
    <row r="3">
      <c r="A3" t="inlineStr">
        <is>
          <t>Primary Species Group</t>
        </is>
      </c>
      <c r="B3" t="inlineStr">
        <is>
          <t>Mobility</t>
        </is>
      </c>
      <c r="C3" t="inlineStr">
        <is>
          <t>Behavior</t>
        </is>
      </c>
      <c r="D3" t="inlineStr">
        <is>
          <t>Gut/Immunity</t>
        </is>
      </c>
      <c r="E3" t="inlineStr">
        <is>
          <t>Performance/FCR</t>
        </is>
      </c>
      <c r="F3" t="inlineStr">
        <is>
          <t>Sustainability</t>
        </is>
      </c>
    </row>
    <row r="4">
      <c r="A4" t="inlineStr">
        <is>
          <t>Dogs</t>
        </is>
      </c>
      <c r="B4" t="n">
        <v>9</v>
      </c>
      <c r="C4" t="n">
        <v>7</v>
      </c>
      <c r="D4" t="n">
        <v>6</v>
      </c>
      <c r="E4" t="n">
        <v>2</v>
      </c>
      <c r="F4" t="n">
        <v>3</v>
      </c>
    </row>
    <row r="5">
      <c r="A5" t="inlineStr">
        <is>
          <t>Cats</t>
        </is>
      </c>
      <c r="B5" t="n">
        <v>7</v>
      </c>
      <c r="C5" t="n">
        <v>8</v>
      </c>
      <c r="D5" t="n">
        <v>6</v>
      </c>
      <c r="E5" t="n">
        <v>1</v>
      </c>
      <c r="F5" t="n">
        <v>2</v>
      </c>
    </row>
    <row r="6">
      <c r="A6" t="inlineStr">
        <is>
          <t>Poultry</t>
        </is>
      </c>
      <c r="B6" t="n">
        <v>1</v>
      </c>
      <c r="C6" t="n">
        <v>1</v>
      </c>
      <c r="D6" t="n">
        <v>8</v>
      </c>
      <c r="E6" t="n">
        <v>9</v>
      </c>
      <c r="F6" t="n">
        <v>7</v>
      </c>
    </row>
    <row r="7">
      <c r="A7" t="inlineStr">
        <is>
          <t>Swine</t>
        </is>
      </c>
      <c r="B7" t="n">
        <v>1</v>
      </c>
      <c r="C7" t="n">
        <v>1</v>
      </c>
      <c r="D7" t="n">
        <v>8</v>
      </c>
      <c r="E7" t="n">
        <v>8</v>
      </c>
      <c r="F7" t="n">
        <v>7</v>
      </c>
    </row>
    <row r="8">
      <c r="A8" t="inlineStr">
        <is>
          <t>Ruminants</t>
        </is>
      </c>
      <c r="B8" t="n">
        <v>2</v>
      </c>
      <c r="C8" t="n">
        <v>1</v>
      </c>
      <c r="D8" t="n">
        <v>7</v>
      </c>
      <c r="E8" t="n">
        <v>8</v>
      </c>
      <c r="F8" t="n">
        <v>9</v>
      </c>
    </row>
    <row r="9">
      <c r="A9" t="inlineStr">
        <is>
          <t>Aquaculture</t>
        </is>
      </c>
      <c r="B9" t="n">
        <v>1</v>
      </c>
      <c r="C9" t="n">
        <v>1</v>
      </c>
      <c r="D9" t="n">
        <v>7</v>
      </c>
      <c r="E9" t="n">
        <v>8</v>
      </c>
      <c r="F9" t="n">
        <v>8</v>
      </c>
    </row>
    <row r="11">
      <c r="A11" t="inlineStr">
        <is>
          <t>Source note</t>
        </is>
      </c>
      <c r="B11" t="inlineStr">
        <is>
          <t>Simplified synthesis from functional-segmentation model (Figure 18) and portfolio mapping (S116)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Comparative economic value by functional segment and primary sector.</t>
        </is>
      </c>
    </row>
    <row r="3">
      <c r="A3" t="inlineStr">
        <is>
          <t>Segment</t>
        </is>
      </c>
      <c r="B3" t="inlineStr">
        <is>
          <t>Total (USDm)</t>
        </is>
      </c>
      <c r="C3" t="inlineStr">
        <is>
          <t>Companion/Pet-led (USDm)</t>
        </is>
      </c>
      <c r="D3" t="inlineStr">
        <is>
          <t>Production/Livestock-led (USDm)</t>
        </is>
      </c>
    </row>
    <row r="4">
      <c r="A4" t="inlineStr">
        <is>
          <t>Mobility</t>
        </is>
      </c>
      <c r="B4" t="n">
        <v>776</v>
      </c>
      <c r="C4" t="n">
        <v>714</v>
      </c>
      <c r="D4" t="n">
        <v>62</v>
      </c>
    </row>
    <row r="5">
      <c r="A5" t="inlineStr">
        <is>
          <t>Cognition</t>
        </is>
      </c>
      <c r="B5" t="n">
        <v>312</v>
      </c>
      <c r="C5" t="n">
        <v>296</v>
      </c>
      <c r="D5" t="n">
        <v>16</v>
      </c>
    </row>
    <row r="6">
      <c r="A6" t="inlineStr">
        <is>
          <t>Behavior</t>
        </is>
      </c>
      <c r="B6" t="n">
        <v>239</v>
      </c>
      <c r="C6" t="n">
        <v>229</v>
      </c>
      <c r="D6" t="n">
        <v>10</v>
      </c>
    </row>
    <row r="7">
      <c r="A7" t="inlineStr">
        <is>
          <t>Gut Health</t>
        </is>
      </c>
      <c r="B7" t="n">
        <v>2913</v>
      </c>
      <c r="C7" t="n">
        <v>1311</v>
      </c>
      <c r="D7" t="n">
        <v>1602</v>
      </c>
    </row>
    <row r="8">
      <c r="A8" t="inlineStr">
        <is>
          <t>Immunity</t>
        </is>
      </c>
      <c r="B8" t="n">
        <v>1841</v>
      </c>
      <c r="C8" t="n">
        <v>1013</v>
      </c>
      <c r="D8" t="n">
        <v>828</v>
      </c>
    </row>
    <row r="9">
      <c r="A9" t="inlineStr">
        <is>
          <t>Performance/FCR</t>
        </is>
      </c>
      <c r="B9" t="n">
        <v>1426</v>
      </c>
      <c r="C9" t="n">
        <v>143</v>
      </c>
      <c r="D9" t="n">
        <v>1283</v>
      </c>
    </row>
    <row r="11">
      <c r="A11" t="inlineStr">
        <is>
          <t>Source note</t>
        </is>
      </c>
      <c r="B11" t="inlineStr">
        <is>
          <t>Totals from Figure 18; split shares from working model assumptions retained for simplified view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Revenue architecture across pharma-linked, feed-linked, and consumer-led models.</t>
        </is>
      </c>
    </row>
    <row r="3">
      <c r="A3" t="inlineStr">
        <is>
          <t>Company</t>
        </is>
      </c>
      <c r="B3" t="inlineStr">
        <is>
          <t>Estimated 2024 Revenue (USD Billions)</t>
        </is>
      </c>
      <c r="C3" t="inlineStr">
        <is>
          <t>Segment</t>
        </is>
      </c>
    </row>
    <row r="4">
      <c r="A4" t="inlineStr">
        <is>
          <t>Nestlé Purina</t>
        </is>
      </c>
      <c r="B4" t="n">
        <v>22.4</v>
      </c>
      <c r="C4" t="inlineStr">
        <is>
          <t>Pet Food &amp; CPG</t>
        </is>
      </c>
    </row>
    <row r="5">
      <c r="A5" t="inlineStr">
        <is>
          <t>Mars Petcare</t>
        </is>
      </c>
      <c r="B5" t="n">
        <v>22</v>
      </c>
      <c r="C5" t="inlineStr">
        <is>
          <t>Pet Food &amp; CPG</t>
        </is>
      </c>
    </row>
    <row r="6">
      <c r="A6" t="inlineStr">
        <is>
          <t>Hill's</t>
        </is>
      </c>
      <c r="B6" t="n">
        <v>4.4</v>
      </c>
      <c r="C6" t="inlineStr">
        <is>
          <t>Pet Food &amp; CPG</t>
        </is>
      </c>
    </row>
    <row r="7">
      <c r="A7" t="inlineStr">
        <is>
          <t>Blue Buffalo</t>
        </is>
      </c>
      <c r="B7" t="n">
        <v>2.3</v>
      </c>
      <c r="C7" t="inlineStr">
        <is>
          <t>Pet Food &amp; CPG</t>
        </is>
      </c>
    </row>
    <row r="8">
      <c r="A8" t="inlineStr">
        <is>
          <t>Zoetis</t>
        </is>
      </c>
      <c r="B8" t="n">
        <v>9.300000000000001</v>
      </c>
      <c r="C8" t="inlineStr">
        <is>
          <t>Pharma &amp; Animal Health</t>
        </is>
      </c>
    </row>
    <row r="9">
      <c r="A9" t="inlineStr">
        <is>
          <t>Merck AH</t>
        </is>
      </c>
      <c r="B9" t="n">
        <v>5.9</v>
      </c>
      <c r="C9" t="inlineStr">
        <is>
          <t>Pharma &amp; Animal Health</t>
        </is>
      </c>
    </row>
    <row r="10">
      <c r="A10" t="inlineStr">
        <is>
          <t>Boehringer Ingelheim</t>
        </is>
      </c>
      <c r="B10" t="n">
        <v>5</v>
      </c>
      <c r="C10" t="inlineStr">
        <is>
          <t>Pharma &amp; Animal Health</t>
        </is>
      </c>
    </row>
    <row r="11">
      <c r="A11" t="inlineStr">
        <is>
          <t>Elanco</t>
        </is>
      </c>
      <c r="B11" t="n">
        <v>4.4</v>
      </c>
      <c r="C11" t="inlineStr">
        <is>
          <t>Pharma &amp; Animal Health</t>
        </is>
      </c>
    </row>
    <row r="12">
      <c r="A12" t="inlineStr">
        <is>
          <t>DSM-Firmenich</t>
        </is>
      </c>
      <c r="B12" t="n">
        <v>3.6</v>
      </c>
      <c r="C12" t="inlineStr">
        <is>
          <t>Feed &amp; Specialty Inputs</t>
        </is>
      </c>
    </row>
    <row r="13">
      <c r="A13" t="inlineStr">
        <is>
          <t>Novonesis</t>
        </is>
      </c>
      <c r="B13" t="n">
        <v>2.5</v>
      </c>
      <c r="C13" t="inlineStr">
        <is>
          <t>Feed &amp; Specialty Inputs</t>
        </is>
      </c>
    </row>
    <row r="14">
      <c r="A14" t="inlineStr">
        <is>
          <t>Phibro</t>
        </is>
      </c>
      <c r="B14" t="n">
        <v>1.4</v>
      </c>
      <c r="C14" t="inlineStr">
        <is>
          <t>Feed &amp; Specialty Inputs</t>
        </is>
      </c>
    </row>
    <row r="16">
      <c r="A16" t="inlineStr">
        <is>
          <t>Source: Zoetis 10-K [S115]; DSM-Firmenich Annual [S117]; Swedencare Annual [S118]; Virbac Annual [S119]; Dechra Annual [S120].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Extracted from DOCX</t>
        </is>
      </c>
      <c r="B1" t="inlineStr">
        <is>
          <t>Nutraceuticals_Whitepaper_20260209-12-20.docx</t>
        </is>
      </c>
      <c r="C1" t="inlineStr">
        <is>
          <t>2026-02-09 13:02</t>
        </is>
      </c>
    </row>
    <row r="3">
      <c r="A3" t="inlineStr">
        <is>
          <t>table_no</t>
        </is>
      </c>
      <c r="B3" t="inlineStr">
        <is>
          <t>rows</t>
        </is>
      </c>
      <c r="C3" t="inlineStr">
        <is>
          <t>cols</t>
        </is>
      </c>
      <c r="D3" t="inlineStr">
        <is>
          <t>first_cell</t>
        </is>
      </c>
      <c r="E3" t="inlineStr">
        <is>
          <t>csv_file</t>
        </is>
      </c>
    </row>
    <row r="4">
      <c r="A4" t="n">
        <v>1</v>
      </c>
      <c r="B4" t="n">
        <v>5</v>
      </c>
      <c r="C4" t="n">
        <v>5</v>
      </c>
      <c r="D4" t="inlineStr">
        <is>
          <t>Region</t>
        </is>
      </c>
      <c r="E4" t="inlineStr">
        <is>
          <t>table_01.csv</t>
        </is>
      </c>
    </row>
    <row r="5">
      <c r="A5" t="n">
        <v>2</v>
      </c>
      <c r="B5" t="n">
        <v>13</v>
      </c>
      <c r="C5" t="n">
        <v>7</v>
      </c>
      <c r="D5" t="inlineStr">
        <is>
          <t>Year</t>
        </is>
      </c>
      <c r="E5" t="inlineStr">
        <is>
          <t>table_02.csv</t>
        </is>
      </c>
    </row>
    <row r="6">
      <c r="A6" t="n">
        <v>3</v>
      </c>
      <c r="B6" t="n">
        <v>23</v>
      </c>
      <c r="C6" t="n">
        <v>5</v>
      </c>
      <c r="D6" t="inlineStr">
        <is>
          <t>Investor Platform</t>
        </is>
      </c>
      <c r="E6" t="inlineStr">
        <is>
          <t>table_03.csv</t>
        </is>
      </c>
    </row>
    <row r="7">
      <c r="A7" t="n">
        <v>4</v>
      </c>
      <c r="B7" t="n">
        <v>6</v>
      </c>
      <c r="C7" t="n">
        <v>6</v>
      </c>
      <c r="D7" t="inlineStr">
        <is>
          <t>Tier</t>
        </is>
      </c>
      <c r="E7" t="inlineStr">
        <is>
          <t>table_04.csv</t>
        </is>
      </c>
    </row>
    <row r="8">
      <c r="A8" t="n">
        <v>5</v>
      </c>
      <c r="B8" t="n">
        <v>4</v>
      </c>
      <c r="C8" t="n">
        <v>6</v>
      </c>
      <c r="D8" t="inlineStr">
        <is>
          <t>Geography</t>
        </is>
      </c>
      <c r="E8" t="inlineStr">
        <is>
          <t>table_05.csv</t>
        </is>
      </c>
    </row>
    <row r="9">
      <c r="A9" t="n">
        <v>6</v>
      </c>
      <c r="B9" t="n">
        <v>23</v>
      </c>
      <c r="C9" t="n">
        <v>2</v>
      </c>
      <c r="D9" t="inlineStr">
        <is>
          <t>Acronym / Term</t>
        </is>
      </c>
      <c r="E9" t="inlineStr">
        <is>
          <t>table_06.csv</t>
        </is>
      </c>
    </row>
    <row r="10">
      <c r="A10" t="n">
        <v>7</v>
      </c>
      <c r="B10" t="n">
        <v>31</v>
      </c>
      <c r="C10" t="n">
        <v>7</v>
      </c>
      <c r="D10" t="inlineStr">
        <is>
          <t>Company</t>
        </is>
      </c>
      <c r="E10" t="inlineStr">
        <is>
          <t>table_07.csv</t>
        </is>
      </c>
    </row>
    <row r="11">
      <c r="A11" t="n">
        <v>8</v>
      </c>
      <c r="B11" t="n">
        <v>31</v>
      </c>
      <c r="C11" t="n">
        <v>6</v>
      </c>
      <c r="D11" t="inlineStr">
        <is>
          <t>Company</t>
        </is>
      </c>
      <c r="E11" t="inlineStr">
        <is>
          <t>table_08.csv</t>
        </is>
      </c>
    </row>
    <row r="12">
      <c r="A12" t="n">
        <v>9</v>
      </c>
      <c r="B12" t="n">
        <v>12</v>
      </c>
      <c r="C12" t="n">
        <v>4</v>
      </c>
      <c r="D12" t="inlineStr">
        <is>
          <t>Table ID</t>
        </is>
      </c>
      <c r="E12" t="inlineStr">
        <is>
          <t>table_09.csv</t>
        </is>
      </c>
    </row>
    <row r="13">
      <c r="A13" t="n">
        <v>10</v>
      </c>
      <c r="B13" t="n">
        <v>13</v>
      </c>
      <c r="C13" t="n">
        <v>4</v>
      </c>
      <c r="D13" t="inlineStr">
        <is>
          <t>Figure ID</t>
        </is>
      </c>
      <c r="E13" t="inlineStr">
        <is>
          <t>table_10.csv</t>
        </is>
      </c>
    </row>
    <row r="14">
      <c r="A14" t="n">
        <v>11</v>
      </c>
      <c r="B14" t="n">
        <v>9</v>
      </c>
      <c r="C14" t="n">
        <v>6</v>
      </c>
      <c r="D14" t="inlineStr">
        <is>
          <t>Year</t>
        </is>
      </c>
      <c r="E14" t="inlineStr">
        <is>
          <t>table_11.csv</t>
        </is>
      </c>
    </row>
    <row r="15">
      <c r="A15" t="n">
        <v>12</v>
      </c>
      <c r="B15" t="n">
        <v>11</v>
      </c>
      <c r="C15" t="n">
        <v>4</v>
      </c>
      <c r="D15" t="inlineStr">
        <is>
          <t>Investor</t>
        </is>
      </c>
      <c r="E15" t="inlineStr">
        <is>
          <t>table_12.csv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figure_no</t>
        </is>
      </c>
      <c r="B1" t="inlineStr">
        <is>
          <t>doc_caption_title</t>
        </is>
      </c>
      <c r="C1" t="inlineStr">
        <is>
          <t>image_file</t>
        </is>
      </c>
      <c r="D1" t="inlineStr">
        <is>
          <t>renderer_source_tab</t>
        </is>
      </c>
      <c r="E1" t="inlineStr">
        <is>
          <t>harmonized_tab</t>
        </is>
      </c>
      <c r="F1" t="inlineStr">
        <is>
          <t>status</t>
        </is>
      </c>
      <c r="G1" t="inlineStr">
        <is>
          <t>section_file</t>
        </is>
      </c>
      <c r="H1" t="inlineStr">
        <is>
          <t>renderer_module</t>
        </is>
      </c>
    </row>
    <row r="2">
      <c r="A2" t="n">
        <v>1</v>
      </c>
      <c r="B2" t="inlineStr">
        <is>
          <t>Global corporate, startup, and investor landscape by region.</t>
        </is>
      </c>
      <c r="C2" t="inlineStr">
        <is>
          <t>Global_Antigravity_Landscape_Final.png</t>
        </is>
      </c>
      <c r="D2" t="inlineStr">
        <is>
          <t>Figure 46</t>
        </is>
      </c>
      <c r="E2" t="inlineStr">
        <is>
          <t>Figure 1</t>
        </is>
      </c>
      <c r="F2" t="inlineStr">
        <is>
          <t>INDIRECT</t>
        </is>
      </c>
      <c r="G2" t="inlineStr">
        <is>
          <t>01_executive_summary.md</t>
        </is>
      </c>
      <c r="H2" t="inlineStr">
        <is>
          <t>global_landscape_exec_summary_fig_46</t>
        </is>
      </c>
    </row>
    <row r="3">
      <c r="A3" t="n">
        <v>2</v>
      </c>
      <c r="B3" t="inlineStr">
        <is>
          <t>Regulatory divergence creates structural barriers to entry for non-compliant actors.</t>
        </is>
      </c>
      <c r="C3" t="inlineStr">
        <is>
          <t>Table_US_vs_EU.png</t>
        </is>
      </c>
      <c r="D3" t="inlineStr">
        <is>
          <t>Figure 1</t>
        </is>
      </c>
      <c r="E3" t="inlineStr">
        <is>
          <t>Figure 2</t>
        </is>
      </c>
      <c r="F3" t="inlineStr">
        <is>
          <t>INDIRECT</t>
        </is>
      </c>
      <c r="G3" t="inlineStr">
        <is>
          <t>02_part_i_structural_bifurcation.md</t>
        </is>
      </c>
      <c r="H3" t="inlineStr">
        <is>
          <t>regulatory_landscape_comparison_fig_01</t>
        </is>
      </c>
    </row>
    <row r="4">
      <c r="A4" t="n">
        <v>3</v>
      </c>
      <c r="B4" t="inlineStr">
        <is>
          <t>Regulatory timeline of post-antibiotic and compliance-driven substitution.</t>
        </is>
      </c>
      <c r="C4" t="inlineStr">
        <is>
          <t>Regulatory_Timeline_RightArrow.png</t>
        </is>
      </c>
      <c r="D4" t="inlineStr">
        <is>
          <t>Figure 2</t>
        </is>
      </c>
      <c r="E4" t="inlineStr">
        <is>
          <t>Figure 3</t>
        </is>
      </c>
      <c r="F4" t="inlineStr">
        <is>
          <t>INDIRECT</t>
        </is>
      </c>
      <c r="G4" t="inlineStr">
        <is>
          <t>02_part_i_structural_bifurcation.md</t>
        </is>
      </c>
      <c r="H4" t="inlineStr">
        <is>
          <t>regulatory_timeline_right_arrow_fig_02</t>
        </is>
      </c>
    </row>
    <row r="5">
      <c r="A5" t="n">
        <v>4</v>
      </c>
      <c r="B5" t="inlineStr">
        <is>
          <t>Regulatory pathways dictate unit economics and allowable claims.</t>
        </is>
      </c>
      <c r="C5" t="inlineStr">
        <is>
          <t>Figure_I_3_Regulatory_Matrix.png</t>
        </is>
      </c>
      <c r="D5" t="inlineStr">
        <is>
          <t>Figure 3</t>
        </is>
      </c>
      <c r="E5" t="inlineStr">
        <is>
          <t>Figure 4</t>
        </is>
      </c>
      <c r="F5" t="inlineStr">
        <is>
          <t>INDIRECT</t>
        </is>
      </c>
      <c r="G5" t="inlineStr">
        <is>
          <t>02_part_i_structural_bifurcation.md</t>
        </is>
      </c>
      <c r="H5" t="inlineStr">
        <is>
          <t>regulatory_pathways_matrix_fig_03</t>
        </is>
      </c>
    </row>
    <row r="6">
      <c r="A6" t="n">
        <v>5</v>
      </c>
      <c r="B6" t="inlineStr">
        <is>
          <t>R&amp;D intensity correlates directly with EBITDA margin expansion/premium.</t>
        </is>
      </c>
      <c r="C6" t="inlineStr">
        <is>
          <t>Figure_II_0_1_Innovation_Matrix.png</t>
        </is>
      </c>
      <c r="D6" t="inlineStr">
        <is>
          <t>Figure 5</t>
        </is>
      </c>
      <c r="E6" t="inlineStr">
        <is>
          <t>Figure 5</t>
        </is>
      </c>
      <c r="F6" t="inlineStr">
        <is>
          <t>OK</t>
        </is>
      </c>
      <c r="G6" t="inlineStr">
        <is>
          <t>02_part_i_structural_bifurcation.md</t>
        </is>
      </c>
      <c r="H6" t="inlineStr">
        <is>
          <t>innovation_premium_matrix_fig_05</t>
        </is>
      </c>
    </row>
    <row r="7">
      <c r="A7" t="n">
        <v>6</v>
      </c>
      <c r="B7" t="inlineStr">
        <is>
          <t>Structural bifurcation splits the market into Emotional (Pet) and ROI (Livestock) economies.</t>
        </is>
      </c>
      <c r="C7" t="inlineStr">
        <is>
          <t>Figure_II_0_2_Market_Bifurcation.png</t>
        </is>
      </c>
      <c r="D7" t="inlineStr">
        <is>
          <t>Figure 6</t>
        </is>
      </c>
      <c r="E7" t="inlineStr">
        <is>
          <t>Figure 6</t>
        </is>
      </c>
      <c r="F7" t="inlineStr">
        <is>
          <t>OK</t>
        </is>
      </c>
      <c r="G7" t="inlineStr">
        <is>
          <t>02_part_i_structural_bifurcation.md</t>
        </is>
      </c>
      <c r="H7" t="inlineStr">
        <is>
          <t>market_bifurcation_economics_fig_06</t>
        </is>
      </c>
    </row>
    <row r="8">
      <c r="A8" t="n">
        <v>7</v>
      </c>
      <c r="B8" t="inlineStr">
        <is>
          <t>Functional needs across companion and production species.</t>
        </is>
      </c>
      <c r="C8" t="inlineStr">
        <is>
          <t>Figure_II_1_Simplified.png</t>
        </is>
      </c>
      <c r="D8" t="inlineStr">
        <is>
          <t>Figure 47</t>
        </is>
      </c>
      <c r="E8" t="inlineStr">
        <is>
          <t>Figure 7</t>
        </is>
      </c>
      <c r="F8" t="inlineStr">
        <is>
          <t>INDIRECT</t>
        </is>
      </c>
      <c r="G8" t="inlineStr">
        <is>
          <t>02_part_i_structural_bifurcation.md</t>
        </is>
      </c>
      <c r="H8" t="inlineStr">
        <is>
          <t>functional_needs_simplified_fig_47</t>
        </is>
      </c>
    </row>
    <row r="9">
      <c r="A9" t="n">
        <v>8</v>
      </c>
      <c r="B9" t="inlineStr">
        <is>
          <t>Comparative economic value by functional segment and primary sector.</t>
        </is>
      </c>
      <c r="C9" t="inlineStr">
        <is>
          <t>Figure_II_12_Simplified.png</t>
        </is>
      </c>
      <c r="D9" t="inlineStr">
        <is>
          <t>Figure 48</t>
        </is>
      </c>
      <c r="E9" t="inlineStr">
        <is>
          <t>Figure 8</t>
        </is>
      </c>
      <c r="F9" t="inlineStr">
        <is>
          <t>INDIRECT</t>
        </is>
      </c>
      <c r="G9" t="inlineStr">
        <is>
          <t>02_part_i_structural_bifurcation.md</t>
        </is>
      </c>
      <c r="H9" t="inlineStr">
        <is>
          <t>economic_value_simplified_fig_48</t>
        </is>
      </c>
    </row>
    <row r="10">
      <c r="A10" t="n">
        <v>9</v>
      </c>
      <c r="B10" t="inlineStr">
        <is>
          <t>Efficacy levels in Mobility define market positioning and pricing power.</t>
        </is>
      </c>
      <c r="C10" t="inlineStr">
        <is>
          <t>Figure_II_1_Matrix.png</t>
        </is>
      </c>
      <c r="D10" t="inlineStr">
        <is>
          <t>Figure 7</t>
        </is>
      </c>
      <c r="E10" t="inlineStr">
        <is>
          <t>Figure 9</t>
        </is>
      </c>
      <c r="F10" t="inlineStr">
        <is>
          <t>INDIRECT</t>
        </is>
      </c>
      <c r="G10" t="inlineStr">
        <is>
          <t>02_part_i_structural_bifurcation.md</t>
        </is>
      </c>
      <c r="H10" t="inlineStr">
        <is>
          <t>mobility_matrix_fig_07</t>
        </is>
      </c>
    </row>
    <row r="11">
      <c r="A11" t="n">
        <v>10</v>
      </c>
      <c r="B11" t="inlineStr">
        <is>
          <t>Cognitive support monetizes the Silver Economy via neuro-preservation.</t>
        </is>
      </c>
      <c r="C11" t="inlineStr">
        <is>
          <t>Figure_II_4_Matrix.png</t>
        </is>
      </c>
      <c r="D11" t="inlineStr">
        <is>
          <t>Figure 10</t>
        </is>
      </c>
      <c r="E11" t="inlineStr">
        <is>
          <t>Figure 10</t>
        </is>
      </c>
      <c r="F11" t="inlineStr">
        <is>
          <t>OK</t>
        </is>
      </c>
      <c r="G11" t="inlineStr">
        <is>
          <t>02_part_i_structural_bifurcation.md</t>
        </is>
      </c>
      <c r="H11" t="inlineStr">
        <is>
          <t>cognitive_matrix_fig_10</t>
        </is>
      </c>
    </row>
    <row r="12">
      <c r="A12" t="n">
        <v>11</v>
      </c>
      <c r="B12" t="inlineStr">
        <is>
          <t>Non-sedative anxiolysis replaces pharmacological interventions in behavior management.</t>
        </is>
      </c>
      <c r="C12" t="inlineStr">
        <is>
          <t>Figure_II_5_Matrix.png</t>
        </is>
      </c>
      <c r="D12" t="inlineStr">
        <is>
          <t>Figure 11</t>
        </is>
      </c>
      <c r="E12" t="inlineStr">
        <is>
          <t>Figure 11</t>
        </is>
      </c>
      <c r="F12" t="inlineStr">
        <is>
          <t>OK</t>
        </is>
      </c>
      <c r="G12" t="inlineStr">
        <is>
          <t>02_part_i_structural_bifurcation.md</t>
        </is>
      </c>
      <c r="H12" t="inlineStr">
        <is>
          <t>behavioral_matrix_fig_11</t>
        </is>
      </c>
    </row>
    <row r="13">
      <c r="A13" t="n">
        <v>12</v>
      </c>
      <c r="B13" t="inlineStr">
        <is>
          <t>Gut Health strategy shifts from generic digestion to precision microbiome modulation.</t>
        </is>
      </c>
      <c r="C13" t="inlineStr">
        <is>
          <t>Figure_II_2_Matrix.png</t>
        </is>
      </c>
      <c r="D13" t="inlineStr">
        <is>
          <t>Figure 8</t>
        </is>
      </c>
      <c r="E13" t="inlineStr">
        <is>
          <t>Figure 12</t>
        </is>
      </c>
      <c r="F13" t="inlineStr">
        <is>
          <t>INDIRECT</t>
        </is>
      </c>
      <c r="G13" t="inlineStr">
        <is>
          <t>02_part_i_structural_bifurcation.md</t>
        </is>
      </c>
      <c r="H13" t="inlineStr">
        <is>
          <t>gut_health_matrix_fig_08</t>
        </is>
      </c>
    </row>
    <row r="14">
      <c r="A14" t="n">
        <v>13</v>
      </c>
      <c r="B14" t="inlineStr">
        <is>
          <t>Immunity solutions build biological resilience for the post-antibiotic era.</t>
        </is>
      </c>
      <c r="C14" t="inlineStr">
        <is>
          <t>Figure_II_3_Matrix.png</t>
        </is>
      </c>
      <c r="D14" t="inlineStr">
        <is>
          <t>Figure 9</t>
        </is>
      </c>
      <c r="E14" t="inlineStr">
        <is>
          <t>Figure 13</t>
        </is>
      </c>
      <c r="F14" t="inlineStr">
        <is>
          <t>INDIRECT</t>
        </is>
      </c>
      <c r="G14" t="inlineStr">
        <is>
          <t>02_part_i_structural_bifurcation.md</t>
        </is>
      </c>
      <c r="H14" t="inlineStr">
        <is>
          <t>immunity_matrix_fig_09</t>
        </is>
      </c>
    </row>
    <row r="15">
      <c r="A15" t="n">
        <v>14</v>
      </c>
      <c r="B15" t="inlineStr">
        <is>
          <t>Enzymes and yeast cultures drive Feed Conversion Ratios (FCR) in livestock.</t>
        </is>
      </c>
      <c r="C15" t="inlineStr">
        <is>
          <t>Figure_II_6_Matrix.png</t>
        </is>
      </c>
      <c r="D15" t="inlineStr">
        <is>
          <t>Figure 12</t>
        </is>
      </c>
      <c r="E15" t="inlineStr">
        <is>
          <t>Figure 14</t>
        </is>
      </c>
      <c r="F15" t="inlineStr">
        <is>
          <t>INDIRECT</t>
        </is>
      </c>
      <c r="G15" t="inlineStr">
        <is>
          <t>02_part_i_structural_bifurcation.md</t>
        </is>
      </c>
      <c r="H15" t="inlineStr">
        <is>
          <t>performance_fcr_matrix_fig_12</t>
        </is>
      </c>
    </row>
    <row r="16">
      <c r="A16" t="n">
        <v>15</v>
      </c>
      <c r="B16" t="inlineStr">
        <is>
          <t>Gene-expression data constructs a defensible moat of validation around ingredients.</t>
        </is>
      </c>
      <c r="C16" t="inlineStr">
        <is>
          <t>Figure_II_9_Matrix.png</t>
        </is>
      </c>
      <c r="D16" t="inlineStr">
        <is>
          <t>Figure 15</t>
        </is>
      </c>
      <c r="E16" t="inlineStr">
        <is>
          <t>Figure 15</t>
        </is>
      </c>
      <c r="F16" t="inlineStr">
        <is>
          <t>OK</t>
        </is>
      </c>
      <c r="G16" t="inlineStr">
        <is>
          <t>02_part_i_structural_bifurcation.md</t>
        </is>
      </c>
      <c r="H16" t="inlineStr">
        <is>
          <t>nutrigenomics_matrix_fig_15</t>
        </is>
      </c>
    </row>
    <row r="17">
      <c r="A17" t="n">
        <v>16</v>
      </c>
      <c r="B17" t="inlineStr">
        <is>
          <t>Advanced delivery formats ensure bioavailability and maximize compliance.</t>
        </is>
      </c>
      <c r="C17" t="inlineStr">
        <is>
          <t>Figure_II_10_Matrix.png</t>
        </is>
      </c>
      <c r="D17" t="inlineStr">
        <is>
          <t>Figure 16</t>
        </is>
      </c>
      <c r="E17" t="inlineStr">
        <is>
          <t>Figure 16</t>
        </is>
      </c>
      <c r="F17" t="inlineStr">
        <is>
          <t>OK</t>
        </is>
      </c>
      <c r="G17" t="inlineStr">
        <is>
          <t>02_part_i_structural_bifurcation.md</t>
        </is>
      </c>
      <c r="H17" t="inlineStr">
        <is>
          <t>delivery_systems_matrix_fig_16</t>
        </is>
      </c>
    </row>
    <row r="18">
      <c r="A18" t="n">
        <v>17</v>
      </c>
      <c r="B18" t="inlineStr">
        <is>
          <t>Sustainability metrics are becoming procurement-critical in livestock value chains.</t>
        </is>
      </c>
      <c r="C18" t="inlineStr">
        <is>
          <t>Figure_II_11_Matrix.png</t>
        </is>
      </c>
      <c r="D18" t="inlineStr">
        <is>
          <t>Figure 17</t>
        </is>
      </c>
      <c r="E18" t="inlineStr">
        <is>
          <t>Figure 17</t>
        </is>
      </c>
      <c r="F18" t="inlineStr">
        <is>
          <t>OK</t>
        </is>
      </c>
      <c r="G18" t="inlineStr">
        <is>
          <t>02_part_i_structural_bifurcation.md</t>
        </is>
      </c>
      <c r="H18" t="inlineStr">
        <is>
          <t>sustainability_matrix_fig_17</t>
        </is>
      </c>
    </row>
    <row r="19">
      <c r="A19" t="n">
        <v>18</v>
      </c>
      <c r="B19" t="inlineStr">
        <is>
          <t>Developed markets prioritize 'Value over Volume' in pet ownership trends.</t>
        </is>
      </c>
      <c r="C19" t="inlineStr">
        <is>
          <t>Figure1_Pet_Ownership.png</t>
        </is>
      </c>
      <c r="D19" t="inlineStr">
        <is>
          <t>Figure 20</t>
        </is>
      </c>
      <c r="E19" t="inlineStr">
        <is>
          <t>Figure 18</t>
        </is>
      </c>
      <c r="F19" t="inlineStr">
        <is>
          <t>INDIRECT</t>
        </is>
      </c>
      <c r="G19" t="inlineStr">
        <is>
          <t>03_part_ii_strategic_bifurcation.md</t>
        </is>
      </c>
      <c r="H19" t="inlineStr">
        <is>
          <t>pet_ownership_rates_fig_20</t>
        </is>
      </c>
    </row>
    <row r="20">
      <c r="A20" t="n">
        <v>19</v>
      </c>
      <c r="B20" t="inlineStr">
        <is>
          <t>European demographics show a structural dominance of the feline segment.</t>
        </is>
      </c>
      <c r="C20" t="inlineStr">
        <is>
          <t>Figure2_EU_Pet_Pop.png</t>
        </is>
      </c>
      <c r="D20" t="inlineStr">
        <is>
          <t>Figure 21</t>
        </is>
      </c>
      <c r="E20" t="inlineStr">
        <is>
          <t>Figure 19</t>
        </is>
      </c>
      <c r="F20" t="inlineStr">
        <is>
          <t>INDIRECT</t>
        </is>
      </c>
      <c r="G20" t="inlineStr">
        <is>
          <t>03_part_ii_strategic_bifurcation.md</t>
        </is>
      </c>
      <c r="H20" t="inlineStr">
        <is>
          <t>eu_pet_population_fig_21</t>
        </is>
      </c>
    </row>
    <row r="21">
      <c r="A21" t="n">
        <v>20</v>
      </c>
      <c r="B21" t="inlineStr">
        <is>
          <t>Feline segment growth outpaces canine due to urbanization constraints.</t>
        </is>
      </c>
      <c r="C21" t="inlineStr">
        <is>
          <t>Figure3_EU_Growth.png</t>
        </is>
      </c>
      <c r="D21" t="inlineStr">
        <is>
          <t>Figure 22</t>
        </is>
      </c>
      <c r="E21" t="inlineStr">
        <is>
          <t>Figure 20</t>
        </is>
      </c>
      <c r="F21" t="inlineStr">
        <is>
          <t>INDIRECT</t>
        </is>
      </c>
      <c r="G21" t="inlineStr">
        <is>
          <t>03_part_ii_strategic_bifurcation.md</t>
        </is>
      </c>
      <c r="H21" t="inlineStr">
        <is>
          <t>eu_pet_growth_fig_22</t>
        </is>
      </c>
    </row>
    <row r="22">
      <c r="A22" t="n">
        <v>21</v>
      </c>
      <c r="B22" t="inlineStr">
        <is>
          <t>APAC is emerging as the primary volume engine for the next decade.</t>
        </is>
      </c>
      <c r="C22" t="inlineStr">
        <is>
          <t>Figure4_Regional_Market.png</t>
        </is>
      </c>
      <c r="D22" t="inlineStr">
        <is>
          <t>Figure 23</t>
        </is>
      </c>
      <c r="E22" t="inlineStr">
        <is>
          <t>Figure 21</t>
        </is>
      </c>
      <c r="F22" t="inlineStr">
        <is>
          <t>INDIRECT</t>
        </is>
      </c>
      <c r="G22" t="inlineStr">
        <is>
          <t>03_part_ii_strategic_bifurcation.md</t>
        </is>
      </c>
      <c r="H22" t="inlineStr">
        <is>
          <t>regional_market_size_fig_23</t>
        </is>
      </c>
    </row>
    <row r="23">
      <c r="A23" t="n">
        <v>22</v>
      </c>
      <c r="B23" t="inlineStr">
        <is>
          <t>Global protein production shifts favor poultry and aquaculture over ruminants.</t>
        </is>
      </c>
      <c r="C23" t="inlineStr">
        <is>
          <t>Figure9_Livestock_Trends.png</t>
        </is>
      </c>
      <c r="D23" t="inlineStr">
        <is>
          <t>Figure 28</t>
        </is>
      </c>
      <c r="E23" t="inlineStr">
        <is>
          <t>Figure 22</t>
        </is>
      </c>
      <c r="F23" t="inlineStr">
        <is>
          <t>INDIRECT</t>
        </is>
      </c>
      <c r="G23" t="inlineStr">
        <is>
          <t>03_part_ii_strategic_bifurcation.md</t>
        </is>
      </c>
      <c r="H23" t="inlineStr">
        <is>
          <t>livestock_trends_fig_28</t>
        </is>
      </c>
    </row>
    <row r="24">
      <c r="A24" t="n">
        <v>23</v>
      </c>
      <c r="B24" t="inlineStr">
        <is>
          <t>Probiotics volume share reflects poultry and swine dominance.</t>
        </is>
      </c>
      <c r="C24" t="inlineStr">
        <is>
          <t>Figure5_Probiotics_Share.png</t>
        </is>
      </c>
      <c r="D24" t="inlineStr">
        <is>
          <t>Figure 24</t>
        </is>
      </c>
      <c r="E24" t="inlineStr">
        <is>
          <t>Figure 23</t>
        </is>
      </c>
      <c r="F24" t="inlineStr">
        <is>
          <t>INDIRECT</t>
        </is>
      </c>
      <c r="G24" t="inlineStr">
        <is>
          <t>03_part_ii_strategic_bifurcation.md</t>
        </is>
      </c>
      <c r="H24" t="inlineStr">
        <is>
          <t>probiotics_share_fig_24</t>
        </is>
      </c>
    </row>
    <row r="25">
      <c r="A25" t="n">
        <v>24</v>
      </c>
      <c r="B25" t="inlineStr">
        <is>
          <t>Disease outbreaks act as catalysts for immune-modulating additive demand.</t>
        </is>
      </c>
      <c r="C25" t="inlineStr">
        <is>
          <t>Figure6_Poultry_HPAI.png</t>
        </is>
      </c>
      <c r="D25" t="inlineStr">
        <is>
          <t>Figure 25</t>
        </is>
      </c>
      <c r="E25" t="inlineStr">
        <is>
          <t>Figure 24</t>
        </is>
      </c>
      <c r="F25" t="inlineStr">
        <is>
          <t>INDIRECT</t>
        </is>
      </c>
      <c r="G25" t="inlineStr">
        <is>
          <t>03_part_ii_strategic_bifurcation.md</t>
        </is>
      </c>
      <c r="H25" t="inlineStr">
        <is>
          <t>hpai_impact_fig_25</t>
        </is>
      </c>
    </row>
    <row r="26">
      <c r="A26" t="n">
        <v>25</v>
      </c>
      <c r="B26" t="inlineStr">
        <is>
          <t>Regulatory pressure drives structural contraction in Western swine herds.</t>
        </is>
      </c>
      <c r="C26" t="inlineStr">
        <is>
          <t>Figure7_Swine_Decline.png</t>
        </is>
      </c>
      <c r="D26" t="inlineStr">
        <is>
          <t>Figure 26</t>
        </is>
      </c>
      <c r="E26" t="inlineStr">
        <is>
          <t>Figure 25</t>
        </is>
      </c>
      <c r="F26" t="inlineStr">
        <is>
          <t>INDIRECT</t>
        </is>
      </c>
      <c r="G26" t="inlineStr">
        <is>
          <t>03_part_ii_strategic_bifurcation.md</t>
        </is>
      </c>
      <c r="H26" t="inlineStr">
        <is>
          <t>swine_decline_fig_26</t>
        </is>
      </c>
    </row>
    <row r="27">
      <c r="A27" t="n">
        <v>26</v>
      </c>
      <c r="B27" t="inlineStr">
        <is>
          <t>Western de-ruminization shifts value from herd size to efficiency-per-head.</t>
        </is>
      </c>
      <c r="C27" t="inlineStr">
        <is>
          <t>Figure8_Cattle_Inventory.png</t>
        </is>
      </c>
      <c r="D27" t="inlineStr">
        <is>
          <t>Figure 27</t>
        </is>
      </c>
      <c r="E27" t="inlineStr">
        <is>
          <t>Figure 26</t>
        </is>
      </c>
      <c r="F27" t="inlineStr">
        <is>
          <t>INDIRECT</t>
        </is>
      </c>
      <c r="G27" t="inlineStr">
        <is>
          <t>03_part_ii_strategic_bifurcation.md</t>
        </is>
      </c>
      <c r="H27" t="inlineStr">
        <is>
          <t>cattle_inventory_fig_27</t>
        </is>
      </c>
    </row>
    <row r="28">
      <c r="A28" t="n">
        <v>27</v>
      </c>
      <c r="B28" t="inlineStr">
        <is>
          <t>The 'Blue Transformation' drives industrialization and functional additive demand in aqua.</t>
        </is>
      </c>
      <c r="C28" t="inlineStr">
        <is>
          <t>Figure11_Aquaculture_Production.png</t>
        </is>
      </c>
      <c r="D28" t="inlineStr">
        <is>
          <t>Figure 29</t>
        </is>
      </c>
      <c r="E28" t="inlineStr">
        <is>
          <t>Figure 27</t>
        </is>
      </c>
      <c r="F28" t="inlineStr">
        <is>
          <t>INDIRECT</t>
        </is>
      </c>
      <c r="G28" t="inlineStr">
        <is>
          <t>03_part_ii_strategic_bifurcation.md</t>
        </is>
      </c>
      <c r="H28" t="inlineStr">
        <is>
          <t>aquaculture_production_fig_29</t>
        </is>
      </c>
    </row>
    <row r="29">
      <c r="A29" t="n">
        <v>28</v>
      </c>
      <c r="B29" t="inlineStr">
        <is>
          <t>Purchasing psychology is driven more by fear of loss than aspirational health.</t>
        </is>
      </c>
      <c r="C29" t="inlineStr">
        <is>
          <t>Figure14_Psychology.png</t>
        </is>
      </c>
      <c r="D29" t="inlineStr">
        <is>
          <t>Figure 33</t>
        </is>
      </c>
      <c r="E29" t="inlineStr">
        <is>
          <t>Figure 28</t>
        </is>
      </c>
      <c r="F29" t="inlineStr">
        <is>
          <t>INDIRECT</t>
        </is>
      </c>
      <c r="G29" t="inlineStr">
        <is>
          <t>03_part_ii_strategic_bifurcation.md</t>
        </is>
      </c>
      <c r="H29" t="inlineStr">
        <is>
          <t>purchase_psychology_fig_33</t>
        </is>
      </c>
    </row>
    <row r="30">
      <c r="A30" t="n">
        <v>29</v>
      </c>
      <c r="B30" t="inlineStr">
        <is>
          <t>Palatability and format dictate compliance, which becomes an efficacy proxy.</t>
        </is>
      </c>
      <c r="C30" t="inlineStr">
        <is>
          <t>Figure11_Formats.png</t>
        </is>
      </c>
      <c r="D30" t="inlineStr">
        <is>
          <t>Figure 30</t>
        </is>
      </c>
      <c r="E30" t="inlineStr">
        <is>
          <t>Figure 29</t>
        </is>
      </c>
      <c r="F30" t="inlineStr">
        <is>
          <t>INDIRECT</t>
        </is>
      </c>
      <c r="G30" t="inlineStr">
        <is>
          <t>03_part_ii_strategic_bifurcation.md</t>
        </is>
      </c>
      <c r="H30" t="inlineStr">
        <is>
          <t>delivery_formats_fig_30</t>
        </is>
      </c>
    </row>
    <row r="31">
      <c r="A31" t="n">
        <v>30</v>
      </c>
      <c r="B31" t="inlineStr">
        <is>
          <t>High-spending households drive the majority of revenue in pet wellness.</t>
        </is>
      </c>
      <c r="C31" t="inlineStr">
        <is>
          <t>Figure13_Segmentation.png</t>
        </is>
      </c>
      <c r="D31" t="inlineStr">
        <is>
          <t>Figure 32</t>
        </is>
      </c>
      <c r="E31" t="inlineStr">
        <is>
          <t>Figure 30</t>
        </is>
      </c>
      <c r="F31" t="inlineStr">
        <is>
          <t>INDIRECT</t>
        </is>
      </c>
      <c r="G31" t="inlineStr">
        <is>
          <t>03_part_ii_strategic_bifurcation.md</t>
        </is>
      </c>
      <c r="H31" t="inlineStr">
        <is>
          <t>consumer_segmentation_fig_32</t>
        </is>
      </c>
    </row>
    <row r="32">
      <c r="A32" t="n">
        <v>31</v>
      </c>
      <c r="B32" t="inlineStr">
        <is>
          <t>Nutraceuticals have captured a dominant share of the preventive wallet.</t>
        </is>
      </c>
      <c r="C32" t="inlineStr">
        <is>
          <t>Figure12_Wallet.png</t>
        </is>
      </c>
      <c r="D32" t="inlineStr">
        <is>
          <t>Figure 31</t>
        </is>
      </c>
      <c r="E32" t="inlineStr">
        <is>
          <t>Figure 31</t>
        </is>
      </c>
      <c r="F32" t="inlineStr">
        <is>
          <t>OK</t>
        </is>
      </c>
      <c r="G32" t="inlineStr">
        <is>
          <t>03_part_ii_strategic_bifurcation.md</t>
        </is>
      </c>
      <c r="H32" t="inlineStr">
        <is>
          <t>preventive_wallet_fig_31</t>
        </is>
      </c>
    </row>
    <row r="33">
      <c r="A33" t="n">
        <v>32</v>
      </c>
      <c r="B33" t="inlineStr">
        <is>
          <t>Category premiumization evolves from generic actives to IP-backed solutions.</t>
        </is>
      </c>
      <c r="C33" t="inlineStr">
        <is>
          <t>Figure15_Mobility_Evo.png</t>
        </is>
      </c>
      <c r="D33" t="inlineStr">
        <is>
          <t>Figure 34</t>
        </is>
      </c>
      <c r="E33" t="inlineStr">
        <is>
          <t>Figure 32</t>
        </is>
      </c>
      <c r="F33" t="inlineStr">
        <is>
          <t>INDIRECT</t>
        </is>
      </c>
      <c r="G33" t="inlineStr">
        <is>
          <t>03_part_ii_strategic_bifurcation.md</t>
        </is>
      </c>
      <c r="H33" t="inlineStr">
        <is>
          <t>mobility_evolution_fig_34</t>
        </is>
      </c>
    </row>
    <row r="34">
      <c r="A34" t="n">
        <v>33</v>
      </c>
      <c r="B34" t="inlineStr">
        <is>
          <t>Earlier lifecycle targeting expands customer lifetime value.</t>
        </is>
      </c>
      <c r="C34" t="inlineStr">
        <is>
          <t>Figure16_Senior_Growth.png</t>
        </is>
      </c>
      <c r="D34" t="inlineStr">
        <is>
          <t>Figure 35</t>
        </is>
      </c>
      <c r="E34" t="inlineStr">
        <is>
          <t>Figure 33</t>
        </is>
      </c>
      <c r="F34" t="inlineStr">
        <is>
          <t>INDIRECT</t>
        </is>
      </c>
      <c r="G34" t="inlineStr">
        <is>
          <t>03_part_ii_strategic_bifurcation.md</t>
        </is>
      </c>
      <c r="H34" t="inlineStr">
        <is>
          <t>senior_wellness_growth_fig_35</t>
        </is>
      </c>
    </row>
    <row r="35">
      <c r="A35" t="n">
        <v>34</v>
      </c>
      <c r="B35" t="inlineStr">
        <is>
          <t>Pricing power erodes as products move from IP owners to generic retailers.</t>
        </is>
      </c>
      <c r="C35" t="inlineStr">
        <is>
          <t>Figure19_Value_Waterfall.png</t>
        </is>
      </c>
      <c r="D35" t="inlineStr">
        <is>
          <t>Figure 38</t>
        </is>
      </c>
      <c r="E35" t="inlineStr">
        <is>
          <t>Figure 34</t>
        </is>
      </c>
      <c r="F35" t="inlineStr">
        <is>
          <t>INDIRECT</t>
        </is>
      </c>
      <c r="G35" t="inlineStr">
        <is>
          <t>04_part_iii_value_chain.md</t>
        </is>
      </c>
      <c r="H35" t="inlineStr">
        <is>
          <t>value_waterfall_fig_38</t>
        </is>
      </c>
    </row>
    <row r="36">
      <c r="A36" t="n">
        <v>35</v>
      </c>
      <c r="B36" t="inlineStr">
        <is>
          <t>Margin capture shifts upstream to IP holders and downstream to specialized CDMOs.</t>
        </is>
      </c>
      <c r="C36" t="inlineStr">
        <is>
          <t>Figure33_Smile_Curve.png</t>
        </is>
      </c>
      <c r="D36" t="inlineStr">
        <is>
          <t>Figure 36</t>
        </is>
      </c>
      <c r="E36" t="inlineStr">
        <is>
          <t>Figure 35</t>
        </is>
      </c>
      <c r="F36" t="inlineStr">
        <is>
          <t>INDIRECT</t>
        </is>
      </c>
      <c r="G36" t="inlineStr">
        <is>
          <t>04_part_iii_value_chain.md</t>
        </is>
      </c>
      <c r="H36" t="inlineStr">
        <is>
          <t>value_chain_smile_curve_fig_36</t>
        </is>
      </c>
    </row>
    <row r="37">
      <c r="A37" t="n">
        <v>36</v>
      </c>
      <c r="B37" t="inlineStr">
        <is>
          <t>Channel economics favor omnichannel dominance but penalize pure-play DTC.</t>
        </is>
      </c>
      <c r="C37" t="inlineStr">
        <is>
          <t>Figure18_Channel_Economics.png</t>
        </is>
      </c>
      <c r="D37" t="inlineStr">
        <is>
          <t>Figure 37</t>
        </is>
      </c>
      <c r="E37" t="inlineStr">
        <is>
          <t>Figure 36</t>
        </is>
      </c>
      <c r="F37" t="inlineStr">
        <is>
          <t>INDIRECT</t>
        </is>
      </c>
      <c r="G37" t="inlineStr">
        <is>
          <t>04_part_iii_value_chain.md</t>
        </is>
      </c>
      <c r="H37" t="inlineStr">
        <is>
          <t>channel_economics_fig_37</t>
        </is>
      </c>
    </row>
    <row r="38">
      <c r="A38" t="n">
        <v>37</v>
      </c>
      <c r="B38" t="inlineStr">
        <is>
          <t>Incumbents use nutraceuticals as a low-cost acquisition funnel for future banking.</t>
        </is>
      </c>
      <c r="C38" t="inlineStr">
        <is>
          <t>Figure21_Pharma_Funnel.png</t>
        </is>
      </c>
      <c r="D38" t="inlineStr">
        <is>
          <t>Figure 40</t>
        </is>
      </c>
      <c r="E38" t="inlineStr">
        <is>
          <t>Figure 37</t>
        </is>
      </c>
      <c r="F38" t="inlineStr">
        <is>
          <t>INDIRECT</t>
        </is>
      </c>
      <c r="G38" t="inlineStr">
        <is>
          <t>04_part_iii_value_chain.md</t>
        </is>
      </c>
      <c r="H38" t="inlineStr">
        <is>
          <t>pharma_funnel_fig_40</t>
        </is>
      </c>
    </row>
    <row r="39">
      <c r="A39" t="n">
        <v>38</v>
      </c>
      <c r="B39" t="inlineStr">
        <is>
          <t>Strategic categorization defines the risk-reward profile for market entrants.</t>
        </is>
      </c>
      <c r="C39" t="inlineStr">
        <is>
          <t>Figure20_Risk_Reward.png</t>
        </is>
      </c>
      <c r="D39" t="inlineStr">
        <is>
          <t>Figure 39</t>
        </is>
      </c>
      <c r="E39" t="inlineStr">
        <is>
          <t>Figure 38</t>
        </is>
      </c>
      <c r="F39" t="inlineStr">
        <is>
          <t>INDIRECT</t>
        </is>
      </c>
      <c r="G39" t="inlineStr">
        <is>
          <t>04_part_iii_value_chain.md</t>
        </is>
      </c>
      <c r="H39" t="inlineStr">
        <is>
          <t>risk_reward_map_fig_39</t>
        </is>
      </c>
    </row>
    <row r="40">
      <c r="A40" t="n">
        <v>39</v>
      </c>
      <c r="B40" t="inlineStr">
        <is>
          <t>M&amp;A valuation matrix favors de-risked assets over internal R&amp;D development.</t>
        </is>
      </c>
      <c r="C40" t="inlineStr">
        <is>
          <t>Figure_MA_Matrix.png</t>
        </is>
      </c>
      <c r="D40" t="inlineStr">
        <is>
          <t>Figure 45</t>
        </is>
      </c>
      <c r="E40" t="inlineStr">
        <is>
          <t>Figure 39</t>
        </is>
      </c>
      <c r="F40" t="inlineStr">
        <is>
          <t>INDIRECT</t>
        </is>
      </c>
      <c r="G40" t="inlineStr">
        <is>
          <t>04_part_iii_value_chain.md</t>
        </is>
      </c>
      <c r="H40" t="inlineStr">
        <is>
          <t>ma_matrix_fig_45</t>
        </is>
      </c>
    </row>
    <row r="41">
      <c r="A41" t="n">
        <v>40</v>
      </c>
      <c r="B41" t="inlineStr">
        <is>
          <t>Strategic opportunity funnel from broad TAM to executable SOM.</t>
        </is>
      </c>
      <c r="C41" t="inlineStr">
        <is>
          <t>Figure_TAM_SAM_SOM.png</t>
        </is>
      </c>
      <c r="D41" t="inlineStr">
        <is>
          <t>Figure 4</t>
        </is>
      </c>
      <c r="E41" t="inlineStr">
        <is>
          <t>Figure 40</t>
        </is>
      </c>
      <c r="F41" t="inlineStr">
        <is>
          <t>INDIRECT</t>
        </is>
      </c>
      <c r="G41" t="inlineStr">
        <is>
          <t>04_part_iii_value_chain.md</t>
        </is>
      </c>
      <c r="H41" t="inlineStr">
        <is>
          <t>tam_sam_som_funnel_fig_04b</t>
        </is>
      </c>
    </row>
    <row r="42">
      <c r="A42" t="n">
        <v>41</v>
      </c>
      <c r="B42" t="inlineStr">
        <is>
          <t>Revenue architecture across pharma-linked, feed-linked, and consumer-led models.</t>
        </is>
      </c>
      <c r="C42" t="inlineStr">
        <is>
          <t>Figure_IV_5_Revenue_Comparison.png</t>
        </is>
      </c>
      <c r="D42" t="inlineStr">
        <is>
          <t>Figure 41</t>
        </is>
      </c>
      <c r="E42" t="inlineStr">
        <is>
          <t>Figure 41</t>
        </is>
      </c>
      <c r="F42" t="inlineStr">
        <is>
          <t>OK</t>
        </is>
      </c>
      <c r="G42" t="inlineStr">
        <is>
          <t>04_part_iii_value_chain.md</t>
        </is>
      </c>
      <c r="H42" t="inlineStr">
        <is>
          <t>revenue_comparison_fig_41</t>
        </is>
      </c>
    </row>
    <row r="43">
      <c r="A43" t="n">
        <v>42</v>
      </c>
      <c r="B43" t="inlineStr">
        <is>
          <t>Capability matrix across the Continuum of Care.</t>
        </is>
      </c>
      <c r="C43" t="inlineStr">
        <is>
          <t>Figure_IV_6_Capability_Matrix.png</t>
        </is>
      </c>
      <c r="D43" t="inlineStr">
        <is>
          <t>Figure 42</t>
        </is>
      </c>
      <c r="E43" t="inlineStr">
        <is>
          <t>Figure 42</t>
        </is>
      </c>
      <c r="F43" t="inlineStr">
        <is>
          <t>OK</t>
        </is>
      </c>
      <c r="G43" t="inlineStr">
        <is>
          <t>04_part_iii_value_chain.md</t>
        </is>
      </c>
      <c r="H43" t="inlineStr">
        <is>
          <t>capability_matrix_fig_42</t>
        </is>
      </c>
    </row>
    <row r="44">
      <c r="A44" t="n">
        <v>43</v>
      </c>
      <c r="B44" t="inlineStr">
        <is>
          <t>Pet category structure and disruption long-tail dynamics.</t>
        </is>
      </c>
      <c r="C44" t="inlineStr">
        <is>
          <t>Figure_IV_3_Pet.png</t>
        </is>
      </c>
      <c r="D44" t="inlineStr">
        <is>
          <t>Figure 43</t>
        </is>
      </c>
      <c r="E44" t="inlineStr">
        <is>
          <t>Figure 43</t>
        </is>
      </c>
      <c r="F44" t="inlineStr">
        <is>
          <t>OK</t>
        </is>
      </c>
      <c r="G44" t="inlineStr">
        <is>
          <t>04_part_iii_value_chain.md</t>
        </is>
      </c>
      <c r="H44" t="inlineStr">
        <is>
          <t>pet_market_structure_fig_43</t>
        </is>
      </c>
    </row>
    <row r="45">
      <c r="A45" t="n">
        <v>44</v>
      </c>
      <c r="B45" t="inlineStr">
        <is>
          <t>Margin ladder by value-chain position and model quality.</t>
        </is>
      </c>
      <c r="C45" t="inlineStr">
        <is>
          <t>Figure_IV_4_Margins.png</t>
        </is>
      </c>
      <c r="D45" t="inlineStr">
        <is>
          <t>Figure 44</t>
        </is>
      </c>
      <c r="E45" t="inlineStr">
        <is>
          <t>Figure 44</t>
        </is>
      </c>
      <c r="F45" t="inlineStr">
        <is>
          <t>OK</t>
        </is>
      </c>
      <c r="G45" t="inlineStr">
        <is>
          <t>04_part_iii_value_chain.md</t>
        </is>
      </c>
      <c r="H45" t="inlineStr">
        <is>
          <t>margin_ladder_fig_44</t>
        </is>
      </c>
    </row>
    <row r="46">
      <c r="A46" t="n">
        <v>45</v>
      </c>
      <c r="B46" t="inlineStr">
        <is>
          <t>Strategic capital-allocation matrix for risk/reward positioning.</t>
        </is>
      </c>
      <c r="C46" t="inlineStr">
        <is>
          <t>Figure_IV_5_Strategic_matrix.png</t>
        </is>
      </c>
      <c r="D46" t="inlineStr">
        <is>
          <t>Figure 45</t>
        </is>
      </c>
      <c r="E46" t="inlineStr">
        <is>
          <t>Figure 45</t>
        </is>
      </c>
      <c r="F46" t="inlineStr">
        <is>
          <t>OK</t>
        </is>
      </c>
      <c r="G46" t="inlineStr">
        <is>
          <t>04_part_iii_value_chain.md</t>
        </is>
      </c>
      <c r="H46" t="inlineStr">
        <is>
          <t>strategic_matrix_fig_45b</t>
        </is>
      </c>
    </row>
    <row r="47">
      <c r="A47" t="n">
        <v>46</v>
      </c>
      <c r="B47" t="inlineStr">
        <is>
          <t>Opportunity matrix for post-commodity technology bets.</t>
        </is>
      </c>
      <c r="C47" t="inlineStr">
        <is>
          <t>Opportunity_Matrix.png</t>
        </is>
      </c>
      <c r="D47" t="inlineStr">
        <is>
          <t>Figure 44</t>
        </is>
      </c>
      <c r="E47" t="inlineStr">
        <is>
          <t>Figure 46</t>
        </is>
      </c>
      <c r="F47" t="inlineStr">
        <is>
          <t>INDIRECT</t>
        </is>
      </c>
      <c r="G47" t="inlineStr">
        <is>
          <t>04_part_iii_value_chain.md</t>
        </is>
      </c>
      <c r="H47" t="inlineStr">
        <is>
          <t>opportunity_matrix_fig_44b</t>
        </is>
      </c>
    </row>
    <row r="48">
      <c r="A48" t="n">
        <v>47</v>
      </c>
      <c r="B48" t="inlineStr">
        <is>
          <t>Functional needs across companion and production species.</t>
        </is>
      </c>
      <c r="C48" t="inlineStr">
        <is>
          <t>Figure_II_1_Simplified.png</t>
        </is>
      </c>
      <c r="D48" t="inlineStr">
        <is>
          <t>Figure 47</t>
        </is>
      </c>
      <c r="E48" t="inlineStr">
        <is>
          <t>Figure 47</t>
        </is>
      </c>
      <c r="F48" t="inlineStr">
        <is>
          <t>OK</t>
        </is>
      </c>
      <c r="G48" t="inlineStr">
        <is>
          <t>05_appendices.md</t>
        </is>
      </c>
      <c r="H48" t="inlineStr">
        <is>
          <t>functional_needs_simplified_fig_47</t>
        </is>
      </c>
    </row>
    <row r="49">
      <c r="A49" t="n">
        <v>48</v>
      </c>
      <c r="B49" t="inlineStr">
        <is>
          <t>Comparative economic value by functional segment and primary sector.</t>
        </is>
      </c>
      <c r="C49" t="inlineStr">
        <is>
          <t>Figure_II_12_Simplified.png</t>
        </is>
      </c>
      <c r="D49" t="inlineStr">
        <is>
          <t>Figure 48</t>
        </is>
      </c>
      <c r="E49" t="inlineStr">
        <is>
          <t>Figure 48</t>
        </is>
      </c>
      <c r="F49" t="inlineStr">
        <is>
          <t>OK</t>
        </is>
      </c>
      <c r="G49" t="inlineStr">
        <is>
          <t>05_appendices.md</t>
        </is>
      </c>
      <c r="H49" t="inlineStr">
        <is>
          <t>economic_value_simplified_fig_48</t>
        </is>
      </c>
    </row>
    <row r="50">
      <c r="A50" t="n">
        <v>49</v>
      </c>
      <c r="B50" t="inlineStr">
        <is>
          <t>Revenue architecture across pharma-linked, feed-linked, and consumer-led models.</t>
        </is>
      </c>
      <c r="C50" t="inlineStr">
        <is>
          <t>Figure_IV_5_Revenue_Comparison.png</t>
        </is>
      </c>
      <c r="D50" t="inlineStr">
        <is>
          <t>Figure 49</t>
        </is>
      </c>
      <c r="E50" t="inlineStr">
        <is>
          <t>Figure 49</t>
        </is>
      </c>
      <c r="F50" t="inlineStr">
        <is>
          <t>OK</t>
        </is>
      </c>
      <c r="G50" t="inlineStr">
        <is>
          <t>DOCX_APPEND</t>
        </is>
      </c>
      <c r="H50" t="inlineStr">
        <is>
          <t>manual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2024 Competitive Landscape: Revenue Scale Comparison</t>
        </is>
      </c>
    </row>
    <row r="3">
      <c r="A3" t="inlineStr">
        <is>
          <t>Company</t>
        </is>
      </c>
      <c r="B3" t="inlineStr">
        <is>
          <t>Estimated 2024 Revenue (USD Billions)</t>
        </is>
      </c>
      <c r="C3" t="inlineStr">
        <is>
          <t>Segment</t>
        </is>
      </c>
    </row>
    <row r="4">
      <c r="A4" t="inlineStr">
        <is>
          <t>Nestlé Purina</t>
        </is>
      </c>
      <c r="B4" t="n">
        <v>22.4</v>
      </c>
      <c r="C4" t="inlineStr">
        <is>
          <t>Pet Food &amp; CPG</t>
        </is>
      </c>
    </row>
    <row r="5">
      <c r="A5" t="inlineStr">
        <is>
          <t>Mars Petcare</t>
        </is>
      </c>
      <c r="B5" t="n">
        <v>22</v>
      </c>
      <c r="C5" t="inlineStr">
        <is>
          <t>Pet Food &amp; CPG</t>
        </is>
      </c>
    </row>
    <row r="6">
      <c r="A6" t="inlineStr">
        <is>
          <t>Hill's</t>
        </is>
      </c>
      <c r="B6" t="n">
        <v>4.4</v>
      </c>
      <c r="C6" t="inlineStr">
        <is>
          <t>Pet Food &amp; CPG</t>
        </is>
      </c>
    </row>
    <row r="7">
      <c r="A7" t="inlineStr">
        <is>
          <t>Blue Buffalo</t>
        </is>
      </c>
      <c r="B7" t="n">
        <v>2.3</v>
      </c>
      <c r="C7" t="inlineStr">
        <is>
          <t>Pet Food &amp; CPG</t>
        </is>
      </c>
    </row>
    <row r="8">
      <c r="A8" t="inlineStr">
        <is>
          <t>Zoetis</t>
        </is>
      </c>
      <c r="B8" t="n">
        <v>9.300000000000001</v>
      </c>
      <c r="C8" t="inlineStr">
        <is>
          <t>Pharma &amp; Animal Health</t>
        </is>
      </c>
    </row>
    <row r="9">
      <c r="A9" t="inlineStr">
        <is>
          <t>Merck AH</t>
        </is>
      </c>
      <c r="B9" t="n">
        <v>5.9</v>
      </c>
      <c r="C9" t="inlineStr">
        <is>
          <t>Pharma &amp; Animal Health</t>
        </is>
      </c>
    </row>
    <row r="10">
      <c r="A10" t="inlineStr">
        <is>
          <t>Boehringer Ingelheim</t>
        </is>
      </c>
      <c r="B10" t="n">
        <v>5</v>
      </c>
      <c r="C10" t="inlineStr">
        <is>
          <t>Pharma &amp; Animal Health</t>
        </is>
      </c>
    </row>
    <row r="11">
      <c r="A11" t="inlineStr">
        <is>
          <t>Elanco</t>
        </is>
      </c>
      <c r="B11" t="n">
        <v>4.4</v>
      </c>
      <c r="C11" t="inlineStr">
        <is>
          <t>Pharma &amp; Animal Health</t>
        </is>
      </c>
    </row>
    <row r="12">
      <c r="A12" t="inlineStr">
        <is>
          <t>DSM-Firmenich</t>
        </is>
      </c>
      <c r="B12" t="n">
        <v>3.6</v>
      </c>
      <c r="C12" t="inlineStr">
        <is>
          <t>Feed &amp; Specialty Inputs</t>
        </is>
      </c>
    </row>
    <row r="13">
      <c r="A13" t="inlineStr">
        <is>
          <t>Novonesis</t>
        </is>
      </c>
      <c r="B13" t="n">
        <v>2.5</v>
      </c>
      <c r="C13" t="inlineStr">
        <is>
          <t>Feed &amp; Specialty Inputs</t>
        </is>
      </c>
    </row>
    <row r="14">
      <c r="A14" t="inlineStr">
        <is>
          <t>Phibro</t>
        </is>
      </c>
      <c r="B14" t="n">
        <v>1.4</v>
      </c>
      <c r="C14" t="inlineStr">
        <is>
          <t>Feed &amp; Specialty Inputs</t>
        </is>
      </c>
    </row>
    <row r="16">
      <c r="A16" t="inlineStr">
        <is>
          <t>Source: Zoetis 10-K [S115]; DSM-Firmenich Annual [S117]; Swedencare Annual [S118]; Virbac Annual [S119]; Dechra Annual [S120].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2026-02-06T14:17:00Z</dcterms:created>
  <dcterms:modified xmlns:dcterms="http://purl.org/dc/terms/" xmlns:xsi="http://www.w3.org/2001/XMLSchema-instance" xsi:type="dcterms:W3CDTF">2026-02-09T16:07:24Z</dcterms:modified>
  <cp:lastModifiedBy>Céline Collin</cp:lastModifiedBy>
</cp:coreProperties>
</file>