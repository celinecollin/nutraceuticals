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</ser>
        <marker val="1"/>
        <axId val="50010001"/>
        <axId val="50010002"/>
      </lineChart>
      <catAx>
        <axId val="5001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</ser>
        <axId val="50020001"/>
        <axId val="50020002"/>
      </scatterChart>
      <valAx>
        <axId val="5002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layout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firstSliceAng val="0"/>
        <holeSize val="50"/>
      </doughnut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</ser>
        <axId val="50040001"/>
        <axId val="50040002"/>
      </scatterChart>
      <valAx>
        <axId val="5004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gapWidth val="150"/>
        <axId val="50050001"/>
        <axId val="50050002"/>
      </barChart>
      <catAx>
        <axId val="50050001"/>
        <scaling>
          <orientation val="minMax"/>
        </scaling>
        <axPos val="b"/>
        <majorTickMark val="none"/>
        <minorTickMark val="none"/>
        <tickLblPos val="nextTo"/>
        <crossAx val="50050002"/>
        <crosses val="autoZero"/>
        <auto val="1"/>
        <lblAlgn val="ctr"/>
        <lblOffset val="100"/>
      </catAx>
      <valAx>
        <axId val="5005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gapWidth val="150"/>
        <axId val="50060001"/>
        <axId val="50060002"/>
      </barChart>
      <catAx>
        <axId val="50060001"/>
        <scaling>
          <orientation val="minMax"/>
        </scaling>
        <axPos val="l"/>
        <majorTickMark val="none"/>
        <minorTickMark val="none"/>
        <tickLblPos val="nextTo"/>
        <crossAx val="50060002"/>
        <crosses val="autoZero"/>
        <auto val="1"/>
        <lblAlgn val="ctr"/>
        <lblOffset val="100"/>
      </catAx>
      <valAx>
        <axId val="5006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gapWidth val="150"/>
        <axId val="50070001"/>
        <axId val="50070002"/>
      </barChart>
      <catAx>
        <axId val="50070001"/>
        <scaling>
          <orientation val="minMax"/>
        </scaling>
        <axPos val="l"/>
        <majorTickMark val="none"/>
        <minorTickMark val="none"/>
        <tickLblPos val="nextTo"/>
        <crossAx val="50070002"/>
        <crosses val="autoZero"/>
        <auto val="1"/>
        <lblAlgn val="ctr"/>
        <lblOffset val="100"/>
      </catAx>
      <valAx>
        <axId val="5007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gapWidth val="150"/>
        <axId val="50080001"/>
        <axId val="50080002"/>
      </barChart>
      <catAx>
        <axId val="50080001"/>
        <scaling>
          <orientation val="minMax"/>
        </scaling>
        <axPos val="l"/>
        <majorTickMark val="none"/>
        <minorTickMark val="none"/>
        <tickLblPos val="nextTo"/>
        <crossAx val="50080002"/>
        <crosses val="autoZero"/>
        <auto val="1"/>
        <lblAlgn val="ctr"/>
        <lblOffset val="100"/>
      </catAx>
      <valAx>
        <axId val="5008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gapWidth val="150"/>
        <axId val="50090001"/>
        <axId val="50090002"/>
      </barChart>
      <catAx>
        <axId val="50090001"/>
        <scaling>
          <orientation val="minMax"/>
        </scaling>
        <axPos val="l"/>
        <majorTickMark val="none"/>
        <minorTickMark val="none"/>
        <tickLblPos val="nextTo"/>
        <crossAx val="50090002"/>
        <crosses val="autoZero"/>
        <auto val="1"/>
        <lblAlgn val="ctr"/>
        <lblOffset val="100"/>
      </catAx>
      <valAx>
        <axId val="5009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gapWidth val="150"/>
        <axId val="50100001"/>
        <axId val="50100002"/>
      </barChart>
      <catAx>
        <axId val="50100001"/>
        <scaling>
          <orientation val="minMax"/>
        </scaling>
        <axPos val="l"/>
        <majorTickMark val="none"/>
        <minorTickMark val="none"/>
        <tickLblPos val="nextTo"/>
        <crossAx val="50100002"/>
        <crosses val="autoZero"/>
        <auto val="1"/>
        <lblAlgn val="ctr"/>
        <lblOffset val="100"/>
      </catAx>
      <valAx>
        <axId val="5010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gapWidth val="150"/>
        <axId val="50110001"/>
        <axId val="50110002"/>
      </barChart>
      <catAx>
        <axId val="50110001"/>
        <scaling>
          <orientation val="minMax"/>
        </scaling>
        <axPos val="l"/>
        <majorTickMark val="none"/>
        <minorTickMark val="none"/>
        <tickLblPos val="nextTo"/>
        <crossAx val="50110002"/>
        <crosses val="autoZero"/>
        <auto val="1"/>
        <lblAlgn val="ctr"/>
        <lblOffset val="100"/>
      </catAx>
      <valAx>
        <axId val="5011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13'!$B$3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8</v>
                </pt>
                <pt idx="1">
                  <v>5</v>
                </pt>
                <pt idx="2">
                  <v>6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29</v>
                </pt>
                <pt idx="1">
                  <v>14</v>
                </pt>
                <pt idx="2">
                  <v>42</v>
                </pt>
                <pt idx="3">
                  <v>327</v>
                </pt>
              </numCache>
            </numRef>
          </val>
        </ser>
        <gapWidth val="150"/>
        <axId val="50120001"/>
        <axId val="50120002"/>
      </barChart>
      <catAx>
        <axId val="50120001"/>
        <scaling>
          <orientation val="minMax"/>
        </scaling>
        <axPos val="l"/>
        <majorTickMark val="none"/>
        <minorTickMark val="none"/>
        <tickLblPos val="nextTo"/>
        <crossAx val="50120002"/>
        <crosses val="autoZero"/>
        <auto val="1"/>
        <lblAlgn val="ctr"/>
        <lblOffset val="100"/>
      </catAx>
      <valAx>
        <axId val="501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14'!$B$3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5</v>
                </pt>
                <pt idx="1">
                  <v>3</v>
                </pt>
                <pt idx="2">
                  <v>5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133</v>
                </pt>
                <pt idx="1">
                  <v>10</v>
                </pt>
                <pt idx="2">
                  <v>36</v>
                </pt>
              </numCache>
            </numRef>
          </val>
        </ser>
        <gapWidth val="150"/>
        <axId val="50130001"/>
        <axId val="50130002"/>
      </barChart>
      <catAx>
        <axId val="50130001"/>
        <scaling>
          <orientation val="minMax"/>
        </scaling>
        <axPos val="l"/>
        <majorTickMark val="none"/>
        <minorTickMark val="none"/>
        <tickLblPos val="nextTo"/>
        <crossAx val="50130002"/>
        <crosses val="autoZero"/>
        <auto val="1"/>
        <lblAlgn val="ctr"/>
        <lblOffset val="100"/>
      </catAx>
      <valAx>
        <axId val="5013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gapWidth val="150"/>
        <axId val="50140001"/>
        <axId val="50140002"/>
      </barChart>
      <catAx>
        <axId val="50140001"/>
        <scaling>
          <orientation val="minMax"/>
        </scaling>
        <axPos val="l"/>
        <majorTickMark val="none"/>
        <minorTickMark val="none"/>
        <tickLblPos val="nextTo"/>
        <crossAx val="50140002"/>
        <crosses val="autoZero"/>
        <auto val="1"/>
        <lblAlgn val="ctr"/>
        <lblOffset val="100"/>
      </catAx>
      <valAx>
        <axId val="5014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gapWidth val="150"/>
        <axId val="50150001"/>
        <axId val="50150002"/>
      </barChart>
      <catAx>
        <axId val="50150001"/>
        <scaling>
          <orientation val="minMax"/>
        </scaling>
        <axPos val="l"/>
        <majorTickMark val="none"/>
        <minorTickMark val="none"/>
        <tickLblPos val="nextTo"/>
        <crossAx val="50150002"/>
        <crosses val="autoZero"/>
        <auto val="1"/>
        <lblAlgn val="ctr"/>
        <lblOffset val="100"/>
      </catAx>
      <valAx>
        <axId val="5015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gapWidth val="150"/>
        <axId val="50160001"/>
        <axId val="50160002"/>
      </barChart>
      <catAx>
        <axId val="50160001"/>
        <scaling>
          <orientation val="minMax"/>
        </scaling>
        <axPos val="l"/>
        <majorTickMark val="none"/>
        <minorTickMark val="none"/>
        <tickLblPos val="nextTo"/>
        <crossAx val="50160002"/>
        <crosses val="autoZero"/>
        <auto val="1"/>
        <lblAlgn val="ctr"/>
        <lblOffset val="100"/>
      </catAx>
      <valAx>
        <axId val="5016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18'!$B$3</f>
              <strCache>
                <ptCount val="1"/>
                <pt idx="0">
                  <v>Total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18'!$A$4:$A$14</f>
              <strCache>
                <ptCount val="11"/>
                <pt idx="0">
                  <v>Ectoparasite</v>
                </pt>
                <pt idx="1">
                  <v>Psych/Calming</v>
                </pt>
                <pt idx="2">
                  <v>Cognition</v>
                </pt>
                <pt idx="3">
                  <v>Niches</v>
                </pt>
                <pt idx="4">
                  <v>Mobility</v>
                </pt>
                <pt idx="5">
                  <v>Sustainability</v>
                </pt>
                <pt idx="6">
                  <v>Nutrigenomics</v>
                </pt>
                <pt idx="7">
                  <v>Performance/FCR</v>
                </pt>
                <pt idx="8">
                  <v>Immunity</v>
                </pt>
                <pt idx="9">
                  <v>Delivery Systems</v>
                </pt>
                <pt idx="10">
                  <v>Gut Health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179</v>
                </pt>
                <pt idx="1">
                  <v>239</v>
                </pt>
                <pt idx="2">
                  <v>312</v>
                </pt>
                <pt idx="3">
                  <v>412</v>
                </pt>
                <pt idx="4">
                  <v>776</v>
                </pt>
                <pt idx="5">
                  <v>786</v>
                </pt>
                <pt idx="6">
                  <v>795</v>
                </pt>
                <pt idx="7">
                  <v>1426</v>
                </pt>
                <pt idx="8">
                  <v>1841</v>
                </pt>
                <pt idx="9">
                  <v>2749</v>
                </pt>
                <pt idx="10">
                  <v>2913</v>
                </pt>
              </numCache>
            </numRef>
          </val>
        </ser>
        <gapWidth val="150"/>
        <axId val="50170001"/>
        <axId val="50170002"/>
      </barChart>
      <catAx>
        <axId val="50170001"/>
        <scaling>
          <orientation val="minMax"/>
        </scaling>
        <axPos val="l"/>
        <majorTickMark val="none"/>
        <minorTickMark val="none"/>
        <tickLblPos val="nextTo"/>
        <crossAx val="50170002"/>
        <crosses val="autoZero"/>
        <auto val="1"/>
        <lblAlgn val="ctr"/>
        <lblOffset val="100"/>
      </catAx>
      <valAx>
        <axId val="5017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19'!$B$3</f>
              <strCache>
                <ptCount val="1"/>
                <pt idx="0">
                  <v>Market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19'!$A$4:$A$10</f>
              <strCache>
                <ptCount val="7"/>
                <pt idx="0">
                  <v>Probiotics</v>
                </pt>
                <pt idx="1">
                  <v>Seeaweed/Polysaccharides</v>
                </pt>
                <pt idx="2">
                  <v>Rumen Protection Tech</v>
                </pt>
                <pt idx="3">
                  <v>Soft Chews Tech</v>
                </pt>
                <pt idx="4">
                  <v>Plasma</v>
                </pt>
                <pt idx="5">
                  <v>Yeast Culture</v>
                </pt>
                <pt idx="6">
                  <v>Phytase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1590</v>
                </pt>
                <pt idx="1">
                  <v>1080</v>
                </pt>
                <pt idx="2">
                  <v>920</v>
                </pt>
                <pt idx="3">
                  <v>593</v>
                </pt>
                <pt idx="4">
                  <v>533</v>
                </pt>
                <pt idx="5">
                  <v>484</v>
                </pt>
                <pt idx="6">
                  <v>569</v>
                </pt>
              </numCache>
            </numRef>
          </val>
        </ser>
        <gapWidth val="150"/>
        <axId val="50180001"/>
        <axId val="50180002"/>
      </barChart>
      <catAx>
        <axId val="50180001"/>
        <scaling>
          <orientation val="minMax"/>
        </scaling>
        <axPos val="l"/>
        <majorTickMark val="none"/>
        <minorTickMark val="none"/>
        <tickLblPos val="nextTo"/>
        <crossAx val="50180002"/>
        <crosses val="autoZero"/>
        <auto val="1"/>
        <lblAlgn val="ctr"/>
        <lblOffset val="100"/>
      </catAx>
      <valAx>
        <axId val="5018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gapWidth val="150"/>
        <axId val="50190001"/>
        <axId val="50190002"/>
      </barChart>
      <catAx>
        <axId val="50190001"/>
        <scaling>
          <orientation val="minMax"/>
        </scaling>
        <axPos val="b"/>
        <majorTickMark val="none"/>
        <minorTickMark val="none"/>
        <tickLblPos val="nextTo"/>
        <crossAx val="50190002"/>
        <crosses val="autoZero"/>
        <auto val="1"/>
        <lblAlgn val="ctr"/>
        <lblOffset val="100"/>
      </catAx>
      <valAx>
        <axId val="5019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gapWidth val="150"/>
        <axId val="50210001"/>
        <axId val="50210002"/>
      </barChart>
      <catAx>
        <axId val="50210001"/>
        <scaling>
          <orientation val="minMax"/>
        </scaling>
        <axPos val="b"/>
        <majorTickMark val="none"/>
        <minorTickMark val="none"/>
        <tickLblPos val="nextTo"/>
        <crossAx val="50210002"/>
        <crosses val="autoZero"/>
        <auto val="1"/>
        <lblAlgn val="ctr"/>
        <lblOffset val="100"/>
      </catAx>
      <valAx>
        <axId val="502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gapWidth val="150"/>
        <axId val="50220001"/>
        <axId val="50220002"/>
      </barChart>
      <catAx>
        <axId val="50220001"/>
        <scaling>
          <orientation val="minMax"/>
        </scaling>
        <axPos val="l"/>
        <majorTickMark val="none"/>
        <minorTickMark val="none"/>
        <tickLblPos val="nextTo"/>
        <crossAx val="50220002"/>
        <crosses val="autoZero"/>
        <auto val="1"/>
        <lblAlgn val="ctr"/>
        <lblOffset val="100"/>
      </catAx>
      <valAx>
        <axId val="502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gapWidth val="150"/>
        <axId val="50230001"/>
        <axId val="50230002"/>
      </barChart>
      <catAx>
        <axId val="50230001"/>
        <scaling>
          <orientation val="minMax"/>
        </scaling>
        <axPos val="b"/>
        <majorTickMark val="none"/>
        <minorTickMark val="none"/>
        <tickLblPos val="nextTo"/>
        <crossAx val="50230002"/>
        <crosses val="autoZero"/>
        <auto val="1"/>
        <lblAlgn val="ctr"/>
        <lblOffset val="100"/>
      </catAx>
      <valAx>
        <axId val="5023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layout/>
    </title>
    <plotArea>
      <layout/>
      <areaChart>
        <grouping val="standard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layout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</ser>
        <marker val="1"/>
        <axId val="50250001"/>
        <axId val="50250002"/>
      </lineChart>
      <catAx>
        <axId val="5025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</catAx>
      <valAx>
        <axId val="5025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27'!$B$3</f>
              <strCache>
                <ptCount val="1"/>
                <pt idx="0">
                  <v>US Cattle (m)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27'!$A$4:$A$18</f>
              <numCache>
                <formatCode>General</formatCode>
                <ptCount val="15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  <pt idx="10">
                  <v>2020</v>
                </pt>
                <pt idx="11">
                  <v>2021</v>
                </pt>
                <pt idx="12">
                  <v>2022</v>
                </pt>
                <pt idx="13">
                  <v>2023</v>
                </pt>
                <pt idx="14">
                  <v>2024</v>
                </pt>
              </numCache>
            </numRef>
          </cat>
          <val>
            <numRef>
              <f>'Figure 27'!$B$4:$B$18</f>
              <numCache>
                <formatCode>General</formatCode>
                <ptCount val="15"/>
                <pt idx="0">
                  <v>95</v>
                </pt>
                <pt idx="1">
                  <v>94.48</v>
                </pt>
                <pt idx="2">
                  <v>93.95999999999999</v>
                </pt>
                <pt idx="3">
                  <v>93.44</v>
                </pt>
                <pt idx="4">
                  <v>92.92</v>
                </pt>
                <pt idx="5">
                  <v>92.40000000000001</v>
                </pt>
                <pt idx="6">
                  <v>91.88</v>
                </pt>
                <pt idx="7">
                  <v>91.36</v>
                </pt>
                <pt idx="8">
                  <v>90.84</v>
                </pt>
                <pt idx="9">
                  <v>90.31999999999999</v>
                </pt>
                <pt idx="10">
                  <v>89.8</v>
                </pt>
                <pt idx="11">
                  <v>89.28</v>
                </pt>
                <pt idx="12">
                  <v>88.76000000000001</v>
                </pt>
                <pt idx="13">
                  <v>88.23999999999999</v>
                </pt>
                <pt idx="14">
                  <v>87.72</v>
                </pt>
              </numCache>
            </numRef>
          </val>
        </ser>
        <marker val="1"/>
        <axId val="50260001"/>
        <axId val="50260002"/>
      </lineChart>
      <catAx>
        <axId val="5026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</catAx>
      <valAx>
        <axId val="5026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28'!$B$3</f>
              <strCache>
                <ptCount val="1"/>
                <pt idx="0">
                  <v>Poultry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28'!$B$4:$B$9</f>
              <numCache>
                <formatCode>General</formatCode>
                <ptCount val="6"/>
                <pt idx="0">
                  <v>100</v>
                </pt>
                <pt idx="1">
                  <v>102</v>
                </pt>
                <pt idx="2">
                  <v>104</v>
                </pt>
                <pt idx="3">
                  <v>106</v>
                </pt>
                <pt idx="4">
                  <v>108</v>
                </pt>
                <pt idx="5">
                  <v>110.5</v>
                </pt>
              </numCache>
            </numRef>
          </val>
        </ser>
        <ser>
          <idx val="1"/>
          <order val="1"/>
          <tx>
            <strRef>
              <f>'Figure 28'!$C$3</f>
              <strCache>
                <ptCount val="1"/>
                <pt idx="0">
                  <v>Bovine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28'!$C$4:$C$9</f>
              <numCache>
                <formatCode>General</formatCode>
                <ptCount val="6"/>
                <pt idx="0">
                  <v>100</v>
                </pt>
                <pt idx="1">
                  <v>99</v>
                </pt>
                <pt idx="2">
                  <v>98</v>
                </pt>
                <pt idx="3">
                  <v>97</v>
                </pt>
                <pt idx="4">
                  <v>96</v>
                </pt>
                <pt idx="5">
                  <v>94.8</v>
                </pt>
              </numCache>
            </numRef>
          </val>
        </ser>
        <marker val="1"/>
        <axId val="50270001"/>
        <axId val="50270002"/>
      </lineChart>
      <catAx>
        <axId val="5027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</catAx>
      <valAx>
        <axId val="5027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29'!$B$3</f>
              <strCache>
                <ptCount val="1"/>
                <pt idx="0">
                  <v>Production 2022 (m tonnes)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29'!$A$4:$A$5</f>
              <strCache>
                <ptCount val="2"/>
                <pt idx="0">
                  <v>Aquaculture</v>
                </pt>
                <pt idx="1">
                  <v>Capture Fisheries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94.40000000000001</v>
                </pt>
                <pt idx="1">
                  <v>91</v>
                </pt>
              </numCache>
            </numRef>
          </val>
        </ser>
        <gapWidth val="150"/>
        <axId val="50280001"/>
        <axId val="50280002"/>
      </barChart>
      <catAx>
        <axId val="50280001"/>
        <scaling>
          <orientation val="minMax"/>
        </scaling>
        <axPos val="b"/>
        <majorTickMark val="none"/>
        <minorTickMark val="none"/>
        <tickLblPos val="nextTo"/>
        <crossAx val="50280002"/>
        <crosses val="autoZero"/>
        <auto val="1"/>
        <lblAlgn val="ctr"/>
        <lblOffset val="100"/>
      </catAx>
      <valAx>
        <axId val="5028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layout/>
    </title>
    <plotArea>
      <layout/>
      <barChart>
        <barDir val="col"/>
        <grouping val="stacked"/>
        <ser>
          <idx val="0"/>
          <order val="0"/>
          <tx>
            <strRef>
              <f>'Figure 30'!$B$3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64</v>
                </pt>
                <pt idx="1">
                  <v>10</v>
                </pt>
                <pt idx="2">
                  <v>26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Cats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15</v>
                </pt>
                <pt idx="1">
                  <v>35</v>
                </pt>
                <pt idx="2">
                  <v>50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  <pt idx="0">
                  <v>Horses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  <pt idx="0">
                  <v>0</v>
                </pt>
                <pt idx="1">
                  <v>25</v>
                </pt>
                <pt idx="2">
                  <v>75</v>
                </pt>
              </numCache>
            </numRef>
          </val>
        </ser>
        <gapWidth val="150"/>
        <overlap val="100"/>
        <axId val="50290001"/>
        <axId val="50290002"/>
      </barChart>
      <catAx>
        <axId val="50290001"/>
        <scaling>
          <orientation val="minMax"/>
        </scaling>
        <axPos val="b"/>
        <majorTickMark val="none"/>
        <minorTickMark val="none"/>
        <tickLblPos val="nextTo"/>
        <crossAx val="50290002"/>
        <crosses val="autoZero"/>
        <auto val="1"/>
        <lblAlgn val="ctr"/>
        <lblOffset val="100"/>
      </catAx>
      <valAx>
        <axId val="5029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gapWidth val="150"/>
        <axId val="50310001"/>
        <axId val="50310002"/>
      </barChart>
      <catAx>
        <axId val="50310001"/>
        <scaling>
          <orientation val="minMax"/>
        </scaling>
        <axPos val="b"/>
        <majorTickMark val="none"/>
        <minorTickMark val="none"/>
        <tickLblPos val="nextTo"/>
        <crossAx val="50310002"/>
        <crosses val="autoZero"/>
        <auto val="1"/>
        <lblAlgn val="ctr"/>
        <lblOffset val="100"/>
      </catAx>
      <valAx>
        <axId val="503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gapWidth val="150"/>
        <axId val="50320001"/>
        <axId val="50320002"/>
      </barChart>
      <catAx>
        <axId val="50320001"/>
        <scaling>
          <orientation val="minMax"/>
        </scaling>
        <axPos val="l"/>
        <majorTickMark val="none"/>
        <minorTickMark val="none"/>
        <tickLblPos val="nextTo"/>
        <crossAx val="50320002"/>
        <crosses val="autoZero"/>
        <auto val="1"/>
        <lblAlgn val="ctr"/>
        <lblOffset val="100"/>
      </catAx>
      <valAx>
        <axId val="503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layout/>
    </title>
    <plotArea>
      <layout/>
      <areaChart>
        <grouping val="stacked"/>
        <ser>
          <idx val="0"/>
          <order val="0"/>
          <tx>
            <strRef>
              <f>'Figure 34'!$B$3</f>
              <strCache>
                <ptCount val="1"/>
                <pt idx="0">
                  <v>Generic Glucosamine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34'!$B$4:$B$7</f>
              <numCache>
                <formatCode>General</formatCode>
                <ptCount val="4"/>
                <pt idx="0">
                  <v>70</v>
                </pt>
                <pt idx="1">
                  <v>60</v>
                </pt>
                <pt idx="2">
                  <v>45</v>
                </pt>
                <pt idx="3">
                  <v>35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UC-II Collagen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34'!$C$4:$C$7</f>
              <numCache>
                <formatCode>General</formatCode>
                <ptCount val="4"/>
                <pt idx="0">
                  <v>5</v>
                </pt>
                <pt idx="1">
                  <v>15</v>
                </pt>
                <pt idx="2">
                  <v>25</v>
                </pt>
                <pt idx="3">
                  <v>30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  <pt idx="0">
                  <v>Green Lipped Mussel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34'!$D$4:$D$7</f>
              <numCache>
                <formatCode>General</formatCode>
                <ptCount val="4"/>
                <pt idx="0">
                  <v>15</v>
                </pt>
                <pt idx="1">
                  <v>15</v>
                </pt>
                <pt idx="2">
                  <v>18</v>
                </pt>
                <pt idx="3">
                  <v>20</v>
                </pt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  <pt idx="0">
                  <v>Premium Combos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34'!$E$4:$E$7</f>
              <numCache>
                <formatCode>General</formatCode>
                <ptCount val="4"/>
                <pt idx="0">
                  <v>10</v>
                </pt>
                <pt idx="1">
                  <v>10</v>
                </pt>
                <pt idx="2">
                  <v>12</v>
                </pt>
                <pt idx="3">
                  <v>15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layout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35'!$A$4:$A$6</f>
              <numCache>
                <formatCode>General</formatCode>
                <ptCount val="3"/>
                <pt idx="0">
                  <v>2015</v>
                </pt>
                <pt idx="1">
                  <v>2024</v>
                </pt>
                <pt idx="2">
                  <v>2030</v>
                </pt>
              </numCache>
            </num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gapWidth val="150"/>
        <axId val="50340001"/>
        <axId val="50340002"/>
      </barChart>
      <catAx>
        <axId val="5034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</catAx>
      <valAx>
        <axId val="5034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36'!$B$3</f>
              <strCache>
                <ptCount val="1"/>
                <pt idx="0">
                  <v>EBITDA Margin Capture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15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  <pt idx="0">
                  <v>Value Added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36'!$C$4:$C$6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gapWidth val="150"/>
        <axId val="50350001"/>
        <axId val="50350002"/>
      </barChart>
      <catAx>
        <axId val="50350001"/>
        <scaling>
          <orientation val="minMax"/>
        </scaling>
        <axPos val="l"/>
        <majorTickMark val="none"/>
        <minorTickMark val="none"/>
        <tickLblPos val="nextTo"/>
        <crossAx val="50350002"/>
        <crosses val="autoZero"/>
        <auto val="1"/>
        <lblAlgn val="ctr"/>
        <lblOffset val="100"/>
      </catAx>
      <valAx>
        <axId val="5035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</ser>
        <marker val="1"/>
        <axId val="50360001"/>
        <axId val="50360002"/>
      </lineChart>
      <catAx>
        <axId val="5036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</catAx>
      <valAx>
        <axId val="5036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layout/>
    </title>
    <plotArea>
      <layout/>
      <barChart>
        <barDir val="col"/>
        <grouping val="stacked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gapWidth val="150"/>
        <overlap val="100"/>
        <axId val="50370001"/>
        <axId val="50370002"/>
      </barChart>
      <catAx>
        <axId val="50370001"/>
        <scaling>
          <orientation val="minMax"/>
        </scaling>
        <axPos val="b"/>
        <majorTickMark val="none"/>
        <minorTickMark val="none"/>
        <tickLblPos val="nextTo"/>
        <crossAx val="50370002"/>
        <crosses val="autoZero"/>
        <auto val="1"/>
        <lblAlgn val="ctr"/>
        <lblOffset val="100"/>
      </catAx>
      <valAx>
        <axId val="5037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</ser>
        <axId val="50380001"/>
        <axId val="50380002"/>
      </scatterChart>
      <valAx>
        <axId val="5038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gapWidth val="150"/>
        <axId val="50390001"/>
        <axId val="50390002"/>
      </barChart>
      <catAx>
        <axId val="50390001"/>
        <scaling>
          <orientation val="minMax"/>
        </scaling>
        <axPos val="l"/>
        <majorTickMark val="none"/>
        <minorTickMark val="none"/>
        <tickLblPos val="nextTo"/>
        <crossAx val="50390002"/>
        <crosses val="autoZero"/>
        <auto val="1"/>
        <lblAlgn val="ctr"/>
        <lblOffset val="100"/>
      </catAx>
      <valAx>
        <axId val="5039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41'!$B$3</f>
              <strCache>
                <ptCount val="1"/>
                <pt idx="0">
                  <v>Revenue 2024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41'!$A$4:$A$8</f>
              <strCache>
                <ptCount val="5"/>
                <pt idx="0">
                  <v>Zoetis</v>
                </pt>
                <pt idx="1">
                  <v>Merck AH</v>
                </pt>
                <pt idx="2">
                  <v>Elanco</v>
                </pt>
                <pt idx="3">
                  <v>DSM-Firmenich</v>
                </pt>
                <pt idx="4">
                  <v>Nestle Purina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9.300000000000001</v>
                </pt>
                <pt idx="1">
                  <v>5.9</v>
                </pt>
                <pt idx="2">
                  <v>4.4</v>
                </pt>
                <pt idx="3">
                  <v>3.3</v>
                </pt>
                <pt idx="4">
                  <v>22.4</v>
                </pt>
              </numCache>
            </numRef>
          </val>
        </ser>
        <gapWidth val="150"/>
        <axId val="50400001"/>
        <axId val="50400002"/>
      </barChart>
      <catAx>
        <axId val="50400001"/>
        <scaling>
          <orientation val="minMax"/>
        </scaling>
        <axPos val="l"/>
        <majorTickMark val="none"/>
        <minorTickMark val="none"/>
        <tickLblPos val="nextTo"/>
        <crossAx val="50400002"/>
        <crosses val="autoZero"/>
        <auto val="1"/>
        <lblAlgn val="ctr"/>
        <lblOffset val="100"/>
      </catAx>
      <valAx>
        <axId val="5040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Mars Petcare</v>
                </pt>
                <pt idx="1">
                  <v>Nestle Purina</v>
                </pt>
                <pt idx="2">
                  <v>Hill's</v>
                </pt>
                <pt idx="3">
                  <v>General Mills (Blue)</v>
                </pt>
                <pt idx="4">
                  <v>Others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20</v>
                </pt>
                <pt idx="1">
                  <v>19</v>
                </pt>
                <pt idx="2">
                  <v>5</v>
                </pt>
                <pt idx="3">
                  <v>4</v>
                </pt>
                <pt idx="4">
                  <v>52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gapWidth val="150"/>
        <axId val="50420001"/>
        <axId val="50420002"/>
      </barChart>
      <catAx>
        <axId val="50420001"/>
        <scaling>
          <orientation val="minMax"/>
        </scaling>
        <axPos val="l"/>
        <majorTickMark val="none"/>
        <minorTickMark val="none"/>
        <tickLblPos val="nextTo"/>
        <crossAx val="50420002"/>
        <crosses val="autoZero"/>
        <auto val="1"/>
        <lblAlgn val="ctr"/>
        <lblOffset val="100"/>
      </catAx>
      <valAx>
        <axId val="504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</ser>
        <axId val="50430001"/>
        <axId val="50430002"/>
      </scatterChart>
      <valAx>
        <axId val="5043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tabSelected="1" workbookViewId="0">
      <selection activeCell="A1" sqref="A1"/>
    </sheetView>
  </sheetViews>
  <sheetFormatPr baseColWidth="8" defaultRowHeight="15"/>
  <cols>
    <col width="15.7109375" customWidth="1" min="1" max="1"/>
    <col width="50.7109375" customWidth="1" min="2" max="2"/>
  </cols>
  <sheetData>
    <row r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Regulatory Landscape Comparison: US vs EU vs UK vs China</t>
        </is>
      </c>
    </row>
    <row r="2">
      <c r="A2" t="inlineStr">
        <is>
          <t>Feature</t>
        </is>
      </c>
      <c r="B2" t="inlineStr">
        <is>
          <t>United States (US)</t>
        </is>
      </c>
      <c r="C2" t="inlineStr">
        <is>
          <t>European Union (EU)</t>
        </is>
      </c>
      <c r="D2" t="inlineStr">
        <is>
          <t>United Kingdom (UK)</t>
        </is>
      </c>
      <c r="E2" t="inlineStr">
        <is>
          <t>China</t>
        </is>
      </c>
    </row>
    <row r="3">
      <c r="A3" s="2" t="inlineStr">
        <is>
          <t>Nutraceutical Definition</t>
        </is>
      </c>
      <c r="B3" s="2" t="inlineStr">
        <is>
          <t>Undefined (Food vs Drug)</t>
        </is>
      </c>
      <c r="C3" s="2" t="inlineStr">
        <is>
          <t>Undefined (Feed vs VMP)</t>
        </is>
      </c>
      <c r="D3" t="inlineStr">
        <is>
          <t>Undefined (Feed vs VMP)</t>
        </is>
      </c>
      <c r="E3" t="inlineStr">
        <is>
          <t>Undefined (Feed Additive vs VMP)</t>
        </is>
      </c>
    </row>
    <row r="4">
      <c r="A4" s="3" t="inlineStr">
        <is>
          <t>Regulatory Body</t>
        </is>
      </c>
      <c r="B4" s="3" t="inlineStr">
        <is>
          <t>FDA-CVM &amp; AAFCO</t>
        </is>
      </c>
      <c r="C4" s="3" t="inlineStr">
        <is>
          <t>EFSA &amp; National Agencies</t>
        </is>
      </c>
      <c r="D4" t="inlineStr">
        <is>
          <t>VMD &amp; FSA</t>
        </is>
      </c>
      <c r="E4" t="inlineStr">
        <is>
          <t>MARA &amp; SAMR</t>
        </is>
      </c>
    </row>
    <row r="5">
      <c r="A5" s="3" t="inlineStr">
        <is>
          <t>Disease Claims</t>
        </is>
      </c>
      <c r="B5" s="3" t="inlineStr">
        <is>
          <t>Prohibited (Drug only)</t>
        </is>
      </c>
      <c r="C5" s="3" t="inlineStr">
        <is>
          <t>Prohibited (PARNUTs exception)</t>
        </is>
      </c>
      <c r="D5" t="inlineStr">
        <is>
          <t>Prohibited (Drug only)</t>
        </is>
      </c>
      <c r="E5" t="inlineStr">
        <is>
          <t>Restricted by registration class</t>
        </is>
      </c>
    </row>
    <row r="6">
      <c r="A6" s="3" t="inlineStr">
        <is>
          <t>Market Entry Speed</t>
        </is>
      </c>
      <c r="B6" s="3" t="inlineStr">
        <is>
          <t>Fast (Notification)</t>
        </is>
      </c>
      <c r="C6" s="3" t="inlineStr">
        <is>
          <t>Slow (Dossier Approval)</t>
        </is>
      </c>
      <c r="D6" t="inlineStr">
        <is>
          <t>Medium (Route-dependent)</t>
        </is>
      </c>
      <c r="E6" t="inlineStr">
        <is>
          <t>Medium-Slow (Registration dependent)</t>
        </is>
      </c>
    </row>
    <row r="7">
      <c r="A7" s="3" t="inlineStr">
        <is>
          <t>Source: FDA-CVM, EFSA, UK VMD/FSA, MARA filings.</t>
        </is>
      </c>
      <c r="B7" s="3" t="inlineStr">
        <is>
          <t>Fast (Notification)</t>
        </is>
      </c>
      <c r="C7" s="3" t="inlineStr">
        <is>
          <t>Slow (Dossier Approval)</t>
        </is>
      </c>
    </row>
    <row r="8"/>
    <row r="9">
      <c r="A9" s="6" t="inlineStr">
        <is>
          <t>Source: FDA-CVM, EFSA Regulations.</t>
        </is>
      </c>
    </row>
    <row r="10"/>
    <row r="11"/>
    <row r="12"/>
    <row r="13"/>
    <row r="14"/>
    <row r="15"/>
    <row r="16"/>
    <row r="17"/>
    <row r="18"/>
    <row r="19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Source: Annual Reports/Filing Data (S115, S117, S118, S119, S120), Master Model (S089), Transaction Context (S125).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Market Bifurcation: Structural Economics</t>
        </is>
      </c>
    </row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 (Inv)</t>
        </is>
      </c>
      <c r="B6" s="3" t="n">
        <v>8</v>
      </c>
      <c r="C6" s="3" t="n">
        <v>2</v>
      </c>
    </row>
    <row r="7">
      <c r="A7" s="3" t="inlineStr">
        <is>
          <t>Source: Internal strategy normalization over S089 value pools and benchmark assumptions.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Special Niches: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Omega-6/Linoleic</t>
        </is>
      </c>
      <c r="B4" s="3" t="n">
        <v>8</v>
      </c>
      <c r="C4" s="3" t="n">
        <v>29</v>
      </c>
    </row>
    <row r="5">
      <c r="A5" s="3" t="inlineStr">
        <is>
          <t>Biotin</t>
        </is>
      </c>
      <c r="B5" s="3" t="n">
        <v>5</v>
      </c>
      <c r="C5" s="3" t="n">
        <v>14</v>
      </c>
    </row>
    <row r="6">
      <c r="A6" s="3" t="inlineStr">
        <is>
          <t>Zinc Methionine</t>
        </is>
      </c>
      <c r="B6" s="3" t="n">
        <v>6</v>
      </c>
      <c r="C6" s="3" t="n">
        <v>42</v>
      </c>
    </row>
    <row r="7">
      <c r="A7" s="3" t="inlineStr">
        <is>
          <t>Astaxanthin</t>
        </is>
      </c>
      <c r="B7" s="3" t="n">
        <v>8</v>
      </c>
      <c r="C7" s="3" t="n">
        <v>327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Natural Ectoparasite: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Natural Repellents</t>
        </is>
      </c>
      <c r="B4" s="3" t="n">
        <v>5</v>
      </c>
      <c r="C4" s="3" t="n">
        <v>133</v>
      </c>
    </row>
    <row r="5">
      <c r="A5" s="3" t="inlineStr">
        <is>
          <t>Garlic/Botanicals</t>
        </is>
      </c>
      <c r="B5" s="3" t="n">
        <v>3</v>
      </c>
      <c r="C5" s="3" t="n">
        <v>10</v>
      </c>
    </row>
    <row r="6">
      <c r="A6" s="3" t="inlineStr">
        <is>
          <t>Skin Barrier Stacks</t>
        </is>
      </c>
      <c r="B6" s="3" t="n">
        <v>5</v>
      </c>
      <c r="C6" s="3" t="n">
        <v>36</v>
      </c>
    </row>
    <row r="8">
      <c r="A8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Total Revenue Potential by Functional Segment</t>
        </is>
      </c>
    </row>
    <row r="3">
      <c r="A3" s="2" t="inlineStr">
        <is>
          <t>Segment</t>
        </is>
      </c>
      <c r="B3" s="2" t="inlineStr">
        <is>
          <t>Total Value (m)</t>
        </is>
      </c>
    </row>
    <row r="4">
      <c r="A4" s="3" t="inlineStr">
        <is>
          <t>Ectoparasite</t>
        </is>
      </c>
      <c r="B4" s="3" t="n">
        <v>179</v>
      </c>
    </row>
    <row r="5">
      <c r="A5" s="3" t="inlineStr">
        <is>
          <t>Psych/Calming</t>
        </is>
      </c>
      <c r="B5" s="3" t="n">
        <v>239</v>
      </c>
    </row>
    <row r="6">
      <c r="A6" s="3" t="inlineStr">
        <is>
          <t>Cognition</t>
        </is>
      </c>
      <c r="B6" s="3" t="n">
        <v>312</v>
      </c>
    </row>
    <row r="7">
      <c r="A7" s="3" t="inlineStr">
        <is>
          <t>Niches</t>
        </is>
      </c>
      <c r="B7" s="3" t="n">
        <v>412</v>
      </c>
    </row>
    <row r="8">
      <c r="A8" s="3" t="inlineStr">
        <is>
          <t>Mobility</t>
        </is>
      </c>
      <c r="B8" s="3" t="n">
        <v>776</v>
      </c>
    </row>
    <row r="9">
      <c r="A9" s="3" t="inlineStr">
        <is>
          <t>Sustainability</t>
        </is>
      </c>
      <c r="B9" s="3" t="n">
        <v>786</v>
      </c>
    </row>
    <row r="10">
      <c r="A10" s="3" t="inlineStr">
        <is>
          <t>Nutrigenomics</t>
        </is>
      </c>
      <c r="B10" s="3" t="n">
        <v>795</v>
      </c>
    </row>
    <row r="11">
      <c r="A11" s="3" t="inlineStr">
        <is>
          <t>Performance/FCR</t>
        </is>
      </c>
      <c r="B11" s="3" t="n">
        <v>1426</v>
      </c>
    </row>
    <row r="12">
      <c r="A12" s="3" t="inlineStr">
        <is>
          <t>Immunity</t>
        </is>
      </c>
      <c r="B12" s="3" t="n">
        <v>1841</v>
      </c>
    </row>
    <row r="13">
      <c r="A13" s="3" t="inlineStr">
        <is>
          <t>Delivery Systems</t>
        </is>
      </c>
      <c r="B13" s="3" t="n">
        <v>2749</v>
      </c>
    </row>
    <row r="14">
      <c r="A14" s="3" t="inlineStr">
        <is>
          <t>Gut Health</t>
        </is>
      </c>
      <c r="B14" s="3" t="n">
        <v>2913</v>
      </c>
    </row>
    <row r="16">
      <c r="A16" s="6" t="inlineStr">
        <is>
          <t>Source: Aggregated Segment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Top 7 Power Ingredients/Technologies by Value</t>
        </is>
      </c>
    </row>
    <row r="3">
      <c r="A3" s="2" t="inlineStr">
        <is>
          <t>Key Ingredient</t>
        </is>
      </c>
      <c r="B3" s="2" t="inlineStr">
        <is>
          <t>Market Value (m)</t>
        </is>
      </c>
    </row>
    <row r="4">
      <c r="A4" s="3" t="inlineStr">
        <is>
          <t>Probiotics</t>
        </is>
      </c>
      <c r="B4" s="3" t="n">
        <v>1590</v>
      </c>
    </row>
    <row r="5">
      <c r="A5" s="3" t="inlineStr">
        <is>
          <t>Seeaweed/Polysaccharides</t>
        </is>
      </c>
      <c r="B5" s="3" t="n">
        <v>1080</v>
      </c>
    </row>
    <row r="6">
      <c r="A6" s="3" t="inlineStr">
        <is>
          <t>Rumen Protection Tech</t>
        </is>
      </c>
      <c r="B6" s="3" t="n">
        <v>920</v>
      </c>
    </row>
    <row r="7">
      <c r="A7" s="3" t="inlineStr">
        <is>
          <t>Soft Chews Tech</t>
        </is>
      </c>
      <c r="B7" s="3" t="n">
        <v>593</v>
      </c>
    </row>
    <row r="8">
      <c r="A8" s="3" t="inlineStr">
        <is>
          <t>Plasma</t>
        </is>
      </c>
      <c r="B8" s="3" t="n">
        <v>533</v>
      </c>
    </row>
    <row r="9">
      <c r="A9" s="3" t="inlineStr">
        <is>
          <t>Yeast Culture</t>
        </is>
      </c>
      <c r="B9" s="3" t="n">
        <v>484</v>
      </c>
    </row>
    <row r="10">
      <c r="A10" s="3" t="inlineStr">
        <is>
          <t>Phytase</t>
        </is>
      </c>
      <c r="B10" s="3" t="n">
        <v>569</v>
      </c>
    </row>
    <row r="12">
      <c r="A12" s="6" t="inlineStr">
        <is>
          <t>Source: Internal Market Sizing.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US Cattle Inventory: The 70-Year Low</t>
        </is>
      </c>
    </row>
    <row r="3">
      <c r="A3" s="2" t="inlineStr">
        <is>
          <t>Year</t>
        </is>
      </c>
      <c r="B3" s="2" t="inlineStr">
        <is>
          <t>US Cattle (m)</t>
        </is>
      </c>
    </row>
    <row r="4">
      <c r="A4" s="3" t="n">
        <v>2010</v>
      </c>
      <c r="B4" s="3" t="n">
        <v>95</v>
      </c>
    </row>
    <row r="5">
      <c r="A5" s="3" t="n">
        <v>2011</v>
      </c>
      <c r="B5" s="3" t="n">
        <v>94.48</v>
      </c>
    </row>
    <row r="6">
      <c r="A6" s="3" t="n">
        <v>2012</v>
      </c>
      <c r="B6" s="3" t="n">
        <v>93.95999999999999</v>
      </c>
    </row>
    <row r="7">
      <c r="A7" s="3" t="n">
        <v>2013</v>
      </c>
      <c r="B7" s="3" t="n">
        <v>93.44</v>
      </c>
    </row>
    <row r="8">
      <c r="A8" s="3" t="n">
        <v>2014</v>
      </c>
      <c r="B8" s="3" t="n">
        <v>92.92</v>
      </c>
    </row>
    <row r="9">
      <c r="A9" s="3" t="n">
        <v>2015</v>
      </c>
      <c r="B9" s="3" t="n">
        <v>92.40000000000001</v>
      </c>
    </row>
    <row r="10">
      <c r="A10" s="3" t="n">
        <v>2016</v>
      </c>
      <c r="B10" s="3" t="n">
        <v>91.88</v>
      </c>
    </row>
    <row r="11">
      <c r="A11" s="3" t="n">
        <v>2017</v>
      </c>
      <c r="B11" s="3" t="n">
        <v>91.36</v>
      </c>
    </row>
    <row r="12">
      <c r="A12" s="3" t="n">
        <v>2018</v>
      </c>
      <c r="B12" s="3" t="n">
        <v>90.84</v>
      </c>
    </row>
    <row r="13">
      <c r="A13" s="3" t="n">
        <v>2019</v>
      </c>
      <c r="B13" s="3" t="n">
        <v>90.31999999999999</v>
      </c>
    </row>
    <row r="14">
      <c r="A14" s="3" t="n">
        <v>2020</v>
      </c>
      <c r="B14" s="3" t="n">
        <v>89.8</v>
      </c>
    </row>
    <row r="15">
      <c r="A15" s="3" t="n">
        <v>2021</v>
      </c>
      <c r="B15" s="3" t="n">
        <v>89.28</v>
      </c>
    </row>
    <row r="16">
      <c r="A16" s="3" t="n">
        <v>2022</v>
      </c>
      <c r="B16" s="3" t="n">
        <v>88.76000000000001</v>
      </c>
    </row>
    <row r="17">
      <c r="A17" s="3" t="n">
        <v>2023</v>
      </c>
      <c r="B17" s="3" t="n">
        <v>88.23999999999999</v>
      </c>
    </row>
    <row r="18">
      <c r="A18" s="3" t="n">
        <v>2024</v>
      </c>
      <c r="B18" s="3" t="n">
        <v>87.72</v>
      </c>
    </row>
    <row r="20">
      <c r="A20" s="6" t="inlineStr">
        <is>
          <t>Source: USDA NASS.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Divergent Production Trends: Poultry vs Bovine</t>
        </is>
      </c>
    </row>
    <row r="3">
      <c r="A3" s="2" t="inlineStr">
        <is>
          <t>Year</t>
        </is>
      </c>
      <c r="B3" s="2" t="inlineStr">
        <is>
          <t>Poultry Index</t>
        </is>
      </c>
      <c r="C3" s="2" t="inlineStr">
        <is>
          <t>Bovine Index</t>
        </is>
      </c>
    </row>
    <row r="4">
      <c r="A4" s="3" t="n">
        <v>2018</v>
      </c>
      <c r="B4" s="3" t="n">
        <v>100</v>
      </c>
      <c r="C4" s="3" t="n">
        <v>100</v>
      </c>
    </row>
    <row r="5">
      <c r="A5" s="3" t="n">
        <v>2019</v>
      </c>
      <c r="B5" s="3" t="n">
        <v>102</v>
      </c>
      <c r="C5" s="3" t="n">
        <v>99</v>
      </c>
    </row>
    <row r="6">
      <c r="A6" s="3" t="n">
        <v>2020</v>
      </c>
      <c r="B6" s="3" t="n">
        <v>104</v>
      </c>
      <c r="C6" s="3" t="n">
        <v>98</v>
      </c>
    </row>
    <row r="7">
      <c r="A7" s="3" t="n">
        <v>2021</v>
      </c>
      <c r="B7" s="3" t="n">
        <v>106</v>
      </c>
      <c r="C7" s="3" t="n">
        <v>97</v>
      </c>
    </row>
    <row r="8">
      <c r="A8" s="3" t="n">
        <v>2022</v>
      </c>
      <c r="B8" s="3" t="n">
        <v>108</v>
      </c>
      <c r="C8" s="3" t="n">
        <v>96</v>
      </c>
    </row>
    <row r="9">
      <c r="A9" s="3" t="n">
        <v>2023</v>
      </c>
      <c r="B9" s="3" t="n">
        <v>110.5</v>
      </c>
      <c r="C9" s="3" t="n">
        <v>94.8</v>
      </c>
    </row>
    <row r="11">
      <c r="A11" s="6" t="inlineStr">
        <is>
          <t>Source: FAO, OECD-FAO Agricultural Outlook.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Blue Transformation: Aquaculture vs Capture</t>
        </is>
      </c>
    </row>
    <row r="3">
      <c r="A3" s="2" t="inlineStr">
        <is>
          <t>Type</t>
        </is>
      </c>
      <c r="B3" s="2" t="inlineStr">
        <is>
          <t>Production 2022 (m tonnes)</t>
        </is>
      </c>
    </row>
    <row r="4">
      <c r="A4" s="3" t="inlineStr">
        <is>
          <t>Aquaculture</t>
        </is>
      </c>
      <c r="B4" s="3" t="n">
        <v>94.40000000000001</v>
      </c>
    </row>
    <row r="5">
      <c r="A5" s="3" t="inlineStr">
        <is>
          <t>Capture Fisheries</t>
        </is>
      </c>
      <c r="B5" s="3" t="n">
        <v>91</v>
      </c>
    </row>
    <row r="7">
      <c r="A7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Preferred Delivery Formats by Species</t>
        </is>
      </c>
    </row>
    <row r="3">
      <c r="A3" s="2" t="inlineStr">
        <is>
          <t>Format</t>
        </is>
      </c>
      <c r="B3" s="2" t="inlineStr">
        <is>
          <t>Dogs (%)</t>
        </is>
      </c>
      <c r="C3" s="2" t="inlineStr">
        <is>
          <t>Cats (%)</t>
        </is>
      </c>
      <c r="D3" s="2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s="3" t="n">
        <v>15</v>
      </c>
      <c r="D4" s="3" t="n">
        <v>0</v>
      </c>
    </row>
    <row r="5">
      <c r="A5" s="3" t="inlineStr">
        <is>
          <t>Liquids/Pastes</t>
        </is>
      </c>
      <c r="B5" s="3" t="n">
        <v>10</v>
      </c>
      <c r="C5" s="3" t="n">
        <v>35</v>
      </c>
      <c r="D5" s="3" t="n">
        <v>25</v>
      </c>
    </row>
    <row r="6">
      <c r="A6" s="3" t="inlineStr">
        <is>
          <t>Pills/Powders</t>
        </is>
      </c>
      <c r="B6" s="3" t="n">
        <v>26</v>
      </c>
      <c r="C6" s="3" t="n">
        <v>50</v>
      </c>
      <c r="D6" s="3" t="n">
        <v>75</v>
      </c>
    </row>
    <row r="8">
      <c r="A8" s="6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Preventive Health Wallet Allocation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.7109375" customWidth="1" min="1" max="5"/>
  </cols>
  <sheetData>
    <row r="1">
      <c r="A1" s="5" t="inlineStr">
        <is>
          <t>Evolution of Mobility Ingredients (Share %)</t>
        </is>
      </c>
    </row>
    <row r="3">
      <c r="A3" s="2" t="inlineStr">
        <is>
          <t>Year</t>
        </is>
      </c>
      <c r="B3" s="2" t="inlineStr">
        <is>
          <t>Generic Glucosamine</t>
        </is>
      </c>
      <c r="C3" s="2" t="inlineStr">
        <is>
          <t>UC-II Collagen</t>
        </is>
      </c>
      <c r="D3" s="2" t="inlineStr">
        <is>
          <t>Green Lipped Mussel</t>
        </is>
      </c>
      <c r="E3" s="2" t="inlineStr">
        <is>
          <t>Premium Combos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Nutrition Business Journal.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Pharma Integration Funnel (Relative Integration Potential)</t>
        </is>
      </c>
    </row>
    <row r="2">
      <c r="B2" t="inlineStr">
        <is>
          <t>Relative Integration Potential (Index, Trial = 100)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inlineStr">
        <is>
          <t>Source: Internal funnel model calibrated with S115 and S116 portfolio pathways.</t>
        </is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Value Chain Economics: Margin Capture</t>
        </is>
      </c>
    </row>
    <row r="3">
      <c r="A3" s="2" t="inlineStr">
        <is>
          <t>Stage</t>
        </is>
      </c>
      <c r="B3" s="2" t="inlineStr">
        <is>
          <t>EBITDA Margin Capture (%)</t>
        </is>
      </c>
      <c r="C3" s="2" t="inlineStr">
        <is>
          <t>Value Added</t>
        </is>
      </c>
    </row>
    <row r="4">
      <c r="A4" s="3" t="inlineStr">
        <is>
          <t>Ingredients</t>
        </is>
      </c>
      <c r="B4" s="3" t="n">
        <v>25</v>
      </c>
      <c r="C4" s="3" t="inlineStr">
        <is>
          <t>IP/Science</t>
        </is>
      </c>
    </row>
    <row r="5">
      <c r="A5" s="3" t="inlineStr">
        <is>
          <t>Manufacturing</t>
        </is>
      </c>
      <c r="B5" s="3" t="n">
        <v>15</v>
      </c>
      <c r="C5" s="3" t="inlineStr">
        <is>
          <t>Scale/Form</t>
        </is>
      </c>
    </row>
    <row r="6">
      <c r="A6" s="3" t="inlineStr">
        <is>
          <t>Brand Owner</t>
        </is>
      </c>
      <c r="B6" s="3" t="n">
        <v>20</v>
      </c>
      <c r="C6" s="3" t="inlineStr">
        <is>
          <t>Consumer Trust</t>
        </is>
      </c>
    </row>
    <row r="8">
      <c r="A8" s="6" t="inlineStr">
        <is>
          <t>Source: L.E.K. Consulting.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Revenue Comparison: Pharma vs Nutrition</t>
        </is>
      </c>
    </row>
    <row r="3">
      <c r="A3" s="2" t="inlineStr">
        <is>
          <t>Company</t>
        </is>
      </c>
      <c r="B3" s="2" t="inlineStr">
        <is>
          <t>Revenue 2024 (bn)</t>
        </is>
      </c>
    </row>
    <row r="4">
      <c r="A4" s="3" t="inlineStr">
        <is>
          <t>Zoetis</t>
        </is>
      </c>
      <c r="B4" s="3" t="n">
        <v>9.300000000000001</v>
      </c>
    </row>
    <row r="5">
      <c r="A5" s="3" t="inlineStr">
        <is>
          <t>Merck AH</t>
        </is>
      </c>
      <c r="B5" s="3" t="n">
        <v>5.9</v>
      </c>
    </row>
    <row r="6">
      <c r="A6" s="3" t="inlineStr">
        <is>
          <t>Elanco</t>
        </is>
      </c>
      <c r="B6" s="3" t="n">
        <v>4.4</v>
      </c>
    </row>
    <row r="7">
      <c r="A7" s="3" t="inlineStr">
        <is>
          <t>DSM-Firmenich</t>
        </is>
      </c>
      <c r="B7" s="3" t="n">
        <v>3.3</v>
      </c>
    </row>
    <row r="8">
      <c r="A8" s="3" t="inlineStr">
        <is>
          <t>Nestle Purina</t>
        </is>
      </c>
      <c r="B8" s="3" t="n">
        <v>22.4</v>
      </c>
    </row>
    <row r="10">
      <c r="A10" s="6" t="inlineStr">
        <is>
          <t>Source: Company Filings.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0.7109375" customWidth="1" min="1" max="5"/>
  </cols>
  <sheetData>
    <row r="1">
      <c r="A1" s="5" t="inlineStr">
        <is>
          <t>Capability Matrix: Continuum of Care Coverage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Mars</t>
        </is>
      </c>
      <c r="D3" s="2" t="inlineStr">
        <is>
          <t>Nestle</t>
        </is>
      </c>
      <c r="E3" s="2" t="inlineStr">
        <is>
          <t>Virbac</t>
        </is>
      </c>
    </row>
    <row r="4">
      <c r="A4" s="3" t="inlineStr">
        <is>
          <t>Diagnostics</t>
        </is>
      </c>
      <c r="B4" s="3" t="n">
        <v>1</v>
      </c>
      <c r="C4" s="3" t="n">
        <v>1</v>
      </c>
      <c r="D4" s="3" t="n">
        <v>0</v>
      </c>
      <c r="E4" s="3" t="n">
        <v>0</v>
      </c>
    </row>
    <row r="5">
      <c r="A5" s="3" t="inlineStr">
        <is>
          <t>Vaccines</t>
        </is>
      </c>
      <c r="B5" s="3" t="n">
        <v>1</v>
      </c>
      <c r="C5" s="3" t="n">
        <v>0</v>
      </c>
      <c r="D5" s="3" t="n">
        <v>0</v>
      </c>
      <c r="E5" s="3" t="n">
        <v>1</v>
      </c>
    </row>
    <row r="6">
      <c r="A6" s="3" t="inlineStr">
        <is>
          <t>Pharma (Rx)</t>
        </is>
      </c>
      <c r="B6" s="3" t="n">
        <v>1</v>
      </c>
      <c r="C6" s="3" t="n">
        <v>0</v>
      </c>
      <c r="D6" s="3" t="n">
        <v>0</v>
      </c>
      <c r="E6" s="3" t="n">
        <v>1</v>
      </c>
    </row>
    <row r="7">
      <c r="A7" s="3" t="inlineStr">
        <is>
          <t>Nutraceuticals</t>
        </is>
      </c>
      <c r="B7" s="3" t="n">
        <v>1</v>
      </c>
      <c r="C7" s="3" t="n">
        <v>1</v>
      </c>
      <c r="D7" s="3" t="n">
        <v>1</v>
      </c>
      <c r="E7" s="3" t="n">
        <v>1</v>
      </c>
    </row>
    <row r="8">
      <c r="A8" s="3" t="inlineStr">
        <is>
          <t>Pet Food</t>
        </is>
      </c>
      <c r="B8" s="3" t="n">
        <v>0</v>
      </c>
      <c r="C8" s="3" t="n">
        <v>1</v>
      </c>
      <c r="D8" s="3" t="n">
        <v>1</v>
      </c>
      <c r="E8" s="3" t="n">
        <v>1</v>
      </c>
    </row>
    <row r="10">
      <c r="A10" s="6" t="inlineStr">
        <is>
          <t>Source: Corporate Strategy Analysis.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Global Pet Nutrition Market Share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Mars Petcare</t>
        </is>
      </c>
      <c r="B4" s="3" t="n">
        <v>20</v>
      </c>
    </row>
    <row r="5">
      <c r="A5" s="3" t="inlineStr">
        <is>
          <t>Nestle Purina</t>
        </is>
      </c>
      <c r="B5" s="3" t="n">
        <v>19</v>
      </c>
    </row>
    <row r="6">
      <c r="A6" s="3" t="inlineStr">
        <is>
          <t>Hill's</t>
        </is>
      </c>
      <c r="B6" s="3" t="n">
        <v>5</v>
      </c>
    </row>
    <row r="7">
      <c r="A7" s="3" t="inlineStr">
        <is>
          <t>General Mills (Blue)</t>
        </is>
      </c>
      <c r="B7" s="3" t="n">
        <v>4</v>
      </c>
    </row>
    <row r="8">
      <c r="A8" s="3" t="inlineStr">
        <is>
          <t>Others</t>
        </is>
      </c>
      <c r="B8" s="3" t="n">
        <v>52</v>
      </c>
    </row>
    <row r="10">
      <c r="A10" s="6" t="inlineStr">
        <is>
          <t>Source: Euromonitor.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Global Corporate, Startup, and Investor Landscape (Regional Composite)</t>
        </is>
      </c>
    </row>
    <row r="3">
      <c r="A3" t="inlineStr">
        <is>
          <t>Field</t>
        </is>
      </c>
      <c r="B3" t="inlineStr">
        <is>
          <t>Value</t>
        </is>
      </c>
    </row>
    <row r="4">
      <c r="A4" t="inlineStr">
        <is>
          <t>figure_id</t>
        </is>
      </c>
      <c r="B4" t="inlineStr">
        <is>
          <t>FIG-ES-1</t>
        </is>
      </c>
    </row>
    <row r="5">
      <c r="A5" t="inlineStr">
        <is>
          <t>image_file</t>
        </is>
      </c>
      <c r="B5" t="inlineStr">
        <is>
          <t>_figures/exports/Global_Antigravity_Landscape_Final.png</t>
        </is>
      </c>
    </row>
    <row r="6">
      <c r="A6" t="inlineStr">
        <is>
          <t>image_dimensions_px</t>
        </is>
      </c>
      <c r="B6" t="inlineStr">
        <is>
          <t>6460 x 3403</t>
        </is>
      </c>
    </row>
    <row r="7">
      <c r="A7" t="inlineStr">
        <is>
          <t>image_created_utc</t>
        </is>
      </c>
      <c r="B7" t="inlineStr">
        <is>
          <t>2026-02-04 10:50:38 +0000</t>
        </is>
      </c>
    </row>
    <row r="8">
      <c r="A8" t="inlineStr">
        <is>
          <t>image_modified_utc</t>
        </is>
      </c>
      <c r="B8" t="inlineStr">
        <is>
          <t>2026-02-04 10:50:41 +0000</t>
        </is>
      </c>
    </row>
    <row r="9">
      <c r="A9" t="inlineStr">
        <is>
          <t>source_ids</t>
        </is>
      </c>
      <c r="B9" t="inlineStr">
        <is>
          <t>S116, S121</t>
        </is>
      </c>
    </row>
    <row r="10">
      <c r="A10" t="inlineStr">
        <is>
          <t>source_1</t>
        </is>
      </c>
      <c r="B10" t="inlineStr">
        <is>
          <t>sources/internal/20260115_VC_PE_Portfolio.xlsx (Sheet1, Sheet2)</t>
        </is>
      </c>
    </row>
    <row r="11">
      <c r="A11" t="inlineStr">
        <is>
          <t>source_2</t>
        </is>
      </c>
      <c r="B11" t="inlineStr">
        <is>
          <t>mapchart.net base map rendering tool (watermark visible on image)</t>
        </is>
      </c>
    </row>
    <row r="12">
      <c r="A12" t="inlineStr">
        <is>
          <t>trace_summary</t>
        </is>
      </c>
      <c r="B12" t="inlineStr">
        <is>
          <t>Named entities in map (e.g., IVC Evidensia, Zooplus, Dechra, Vetnique, Lintbells/YuMOVE, FoodScience, Ani.VC, EQT) align with in-repo internal portfolio workbook entries.</t>
        </is>
      </c>
    </row>
    <row r="13">
      <c r="A13" t="inlineStr">
        <is>
          <t>notes</t>
        </is>
      </c>
      <c r="B13" t="inlineStr">
        <is>
          <t>This is a composite landscape map (not a quantitative chart); tab documents provenance and tracking metadata.</t>
        </is>
      </c>
    </row>
    <row r="15">
      <c r="A15" t="inlineStr">
        <is>
          <t>lineage_candidates</t>
        </is>
      </c>
      <c r="B15" t="inlineStr">
        <is>
          <t>Global_Map_V10_VCPE.png; Global_Map_V11_Final.png; Global_Antigravity_Landscape.png; Global_Antigravity_Landscape_Detailed.png; Global_Antigravity_Landscape_Dense.png; Global_Antigravity_Landscape_HighVis.png; Global_Antigravity_Landscape_PerfectFit.png; Global_Antigravity_Landscape_SplitUK.png; Global_Antigravity_Landscape_Final.png</t>
        </is>
      </c>
    </row>
    <row r="16">
      <c r="A16" t="inlineStr">
        <is>
          <t>lineage_note</t>
        </is>
      </c>
      <c r="B16" t="inlineStr">
        <is>
          <t>Filename chronology and timestamp progression indicate iterative map refinements culminating in the Final variant.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2026-02-08T19:54:39Z</dcterms:modified>
</cp:coreProperties>
</file>